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ports" sheetId="2" state="visible" r:id="rId4"/>
    <sheet name="Scenes" sheetId="3" state="visible" r:id="rId5"/>
    <sheet name="Discovery 2025" sheetId="4" state="visible" r:id="rId6"/>
    <sheet name="Test 2026" sheetId="5" state="visible" r:id="rId7"/>
  </sheets>
  <definedNames>
    <definedName function="false" hidden="true" localSheetId="2" name="_xlnm._FilterDatabase" vbProcedure="false">Scenes!$A$1:$G$110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<sst xmlns="http://schemas.openxmlformats.org/spreadsheetml/2006/main" count="427" uniqueCount="139">
  <si>
    <t xml:space="preserve">Coal export nowcast: out-of-sample test of the road radar signal</t>
  </si>
  <si>
    <t xml:space="preserve">Rule fixed before testing: road_p90_db (brightest 10% of the road minus the control desert), orbit 164, monthly average. Gashuunsukhait crossing.</t>
  </si>
  <si>
    <t xml:space="preserve">Period</t>
  </si>
  <si>
    <t xml:space="preserve">Months</t>
  </si>
  <si>
    <t xml:space="preserve">Correlation with exports</t>
  </si>
  <si>
    <t xml:space="preserve">After removing shared trend</t>
  </si>
  <si>
    <t xml:space="preserve">2025 (where the rule was found)</t>
  </si>
  <si>
    <t xml:space="preserve">2026 test (new data, rule unchanged)</t>
  </si>
  <si>
    <t xml:space="preserve">2026 test, Sentinel-1C scenes only</t>
  </si>
  <si>
    <t xml:space="preserve">2026 test, flagged bad scene excluded</t>
  </si>
  <si>
    <t xml:space="preserve">Verdict</t>
  </si>
  <si>
    <t xml:space="preserve">The rule did not hold up on new data. The strong 2025 result was mostly luck from testing 12 combinations (4 measures x 3 orbits) on 8 months. The direction stays positive but is too weak to use.</t>
  </si>
  <si>
    <t xml:space="preserve">Data issues found</t>
  </si>
  <si>
    <t xml:space="preserve">New satellite (Sentinel-1D)</t>
  </si>
  <si>
    <t xml:space="preserve">Joined orbit 164 in May 2026. Its 29 May scene reads about 43 dB above the desert, roughly 3x any other scene; likely a bad early scene. Flagged on the Scenes tab. Future runs should filter such scenes automatically.</t>
  </si>
  <si>
    <t xml:space="preserve">Volume rose, signal flat</t>
  </si>
  <si>
    <t xml:space="preserve">2026 exports ran far above 2025 while road brightness barely changed, so the box is not measuring volume.</t>
  </si>
  <si>
    <t xml:space="preserve">Orbit 84 flips between years</t>
  </si>
  <si>
    <t xml:space="preserve">Same measure: +0.06 in 2025, +0.66 in 2026. A signal that flips sign strength between years is treated as noise.</t>
  </si>
  <si>
    <t xml:space="preserve">Why a queue cannot measure volume</t>
  </si>
  <si>
    <t xml:space="preserve">Congestion, not throughput</t>
  </si>
  <si>
    <t xml:space="preserve">When the border runs smoothly trucks pass fast and the queue is short even at high volume. When it jams (Sept 2026 congestion order) the queue grows while exports fall.</t>
  </si>
  <si>
    <t xml:space="preserve">Partial coverage</t>
  </si>
  <si>
    <t xml:space="preserve">The box is one small yard at one of several crossings, and a growing share of coal moves by rail.</t>
  </si>
  <si>
    <t xml:space="preserve">Next measures to test (same method: fix the rule, then test on unseen months)</t>
  </si>
  <si>
    <t xml:space="preserve">1. Border coal stockpiles</t>
  </si>
  <si>
    <t xml:space="preserve">Dark coal area at the border yards from Sentinel-2 color images. coal_fraction code already exists.</t>
  </si>
  <si>
    <t xml:space="preserve">2. Rail yard wagons</t>
  </si>
  <si>
    <t xml:space="preserve">Bright wagon returns on rail sidings; captures the rail share the truck view misses.</t>
  </si>
  <si>
    <t xml:space="preserve">3. Combined model</t>
  </si>
  <si>
    <t xml:space="preserve">Several signals in one small model, tested on months it has not seen.</t>
  </si>
  <si>
    <t xml:space="preserve">Green = linked from another tab; blue (other tabs) = source inputs. All correlations are live formulas on the Discovery 2025 and Test 2026 tabs.</t>
  </si>
  <si>
    <t xml:space="preserve">Month</t>
  </si>
  <si>
    <t xml:space="preserve">Exports (Mt)</t>
  </si>
  <si>
    <t xml:space="preserve">Method</t>
  </si>
  <si>
    <t xml:space="preserve">Coverage</t>
  </si>
  <si>
    <t xml:space="preserve">Notes</t>
  </si>
  <si>
    <t xml:space="preserve">Source</t>
  </si>
  <si>
    <t xml:space="preserve">2025-01</t>
  </si>
  <si>
    <t xml:space="preserve">derived</t>
  </si>
  <si>
    <t xml:space="preserve">all coal incl. lignite (CGA)</t>
  </si>
  <si>
    <t xml:space="preserve">Jan 2026 was +73.5% YoY</t>
  </si>
  <si>
    <t xml:space="preserve">https://www.mysteel.net/news/5113518-mongolias-coal-exports-surge-over-73-yoy-in-january</t>
  </si>
  <si>
    <t xml:space="preserve">2025-02</t>
  </si>
  <si>
    <t xml:space="preserve">Jan-Apr 24.96 Mt minus Jan, Mar, Apr; Q1 matches Q1 2026 +57% YoY</t>
  </si>
  <si>
    <t xml:space="preserve">https://www.bigmint.co/insights/detail/mongolia-coal-exports-climb-up-by-over-20-m-o-m-in-apr25-647775</t>
  </si>
  <si>
    <t xml:space="preserve">2025-03</t>
  </si>
  <si>
    <t xml:space="preserve">Apr 2025 was +23.7% MoM; also matches Mar 2026 +84% YoY</t>
  </si>
  <si>
    <t xml:space="preserve">2025-04</t>
  </si>
  <si>
    <t xml:space="preserve">reported</t>
  </si>
  <si>
    <t xml:space="preserve">Jan-Apr 2025 = 24.96 Mt</t>
  </si>
  <si>
    <t xml:space="preserve">2025-05</t>
  </si>
  <si>
    <t xml:space="preserve">May 2026 was +44% YoY</t>
  </si>
  <si>
    <t xml:space="preserve">https://www.mysteel.net/news/5127214-mongolia-coal-exports-rocket-by-44-yoy-in-may</t>
  </si>
  <si>
    <t xml:space="preserve">2025-06</t>
  </si>
  <si>
    <t xml:space="preserve">H1 2025 implied by H1 2026 +56% YoY</t>
  </si>
  <si>
    <t xml:space="preserve">https://www.mysteel.net/news/5131819-mongolias-h1-coal-exports-surge-56-yoy</t>
  </si>
  <si>
    <t xml:space="preserve">2025-07</t>
  </si>
  <si>
    <t xml:space="preserve">Residual: 2025 total 90.02 Mt minus all other months; absorbs errors in other derived months</t>
  </si>
  <si>
    <t xml:space="preserve">https://www.mysteel.net/news/5109865-mongolias-2025-coal-exports-top-annual-target-set-new-record-high</t>
  </si>
  <si>
    <t xml:space="preserve">2025-08</t>
  </si>
  <si>
    <t xml:space="preserve">Sept 2025 was +13.7% MoM</t>
  </si>
  <si>
    <t xml:space="preserve">https://www.mysteel.net/news/5100744-mongolias-coal-exports-surge-to-multi-year-high-in-september</t>
  </si>
  <si>
    <t xml:space="preserve">2025-09</t>
  </si>
  <si>
    <t xml:space="preserve">Highest month since 2019</t>
  </si>
  <si>
    <t xml:space="preserve">2025-10</t>
  </si>
  <si>
    <t xml:space="preserve">https://www.mysteel.net/news/5103703-mongolias-october-coal-exports-dip-2-yoy-26-mom</t>
  </si>
  <si>
    <t xml:space="preserve">2025-11</t>
  </si>
  <si>
    <t xml:space="preserve">Sxcoal calculation; CGA did not publish a November total</t>
  </si>
  <si>
    <t xml:space="preserve">https://apbi-icma.org/media-article/mongolia-nov-coal-exports-surge-to-over-9mt-keeping-2025-target-within-reach</t>
  </si>
  <si>
    <t xml:space="preserve">2025-12</t>
  </si>
  <si>
    <t xml:space="preserve">Conflict: a later Mysteel article gives 10.93 Mt (possible revision)</t>
  </si>
  <si>
    <t xml:space="preserve">2026-01</t>
  </si>
  <si>
    <t xml:space="preserve">2026-02</t>
  </si>
  <si>
    <t xml:space="preserve">Chinese New Year border closure</t>
  </si>
  <si>
    <t xml:space="preserve">https://www.mysteel.net/news/5115319-cny-holiday-drives-down-mongolian-coal-exports-to-china-in-feb</t>
  </si>
  <si>
    <t xml:space="preserve">2026-03</t>
  </si>
  <si>
    <t xml:space="preserve">Q1 2026 = 27.53 Mt</t>
  </si>
  <si>
    <t xml:space="preserve">https://www.mysteel.net/news/5119200-mongolias-march-coal-exports-hit-historical-high-on-robust-chinese-demand</t>
  </si>
  <si>
    <t xml:space="preserve">2026-04</t>
  </si>
  <si>
    <t xml:space="preserve">All-time monthly high</t>
  </si>
  <si>
    <t xml:space="preserve">https://www.mysteel.net/news/5123199-mongolia-coal-exports-see-another-monthly-record-in-april</t>
  </si>
  <si>
    <t xml:space="preserve">2026-05</t>
  </si>
  <si>
    <t xml:space="preserve">Border closed May 1-3; flooding mid-May</t>
  </si>
  <si>
    <t xml:space="preserve">2026-06</t>
  </si>
  <si>
    <t xml:space="preserve">H1 2026 total 59.21 Mt minus Jan-May; matches July article (-11.4% MoM)</t>
  </si>
  <si>
    <t xml:space="preserve">2026-07</t>
  </si>
  <si>
    <t xml:space="preserve">Naadam holiday closures</t>
  </si>
  <si>
    <t xml:space="preserve">https://www.mysteel.net/news/5136085-mongolias-july-coal-exports-drop-11-mom-as-holidays-shut-customs-posts</t>
  </si>
  <si>
    <t xml:space="preserve">2026-08</t>
  </si>
  <si>
    <t xml:space="preserve">Approximate: Sept 8.41 Mt was down about 11% MoM; cross-checks with customs Jan-Aug hard coal 74.4 Mt (ikon.mn/n/3q6n)</t>
  </si>
  <si>
    <t xml:space="preserve">https://www.mysteel.net/news/5143838-limited-transport-via-ganqimaodu-port-lowers-mongolian-coal-exports-in-sept</t>
  </si>
  <si>
    <t xml:space="preserve">2026-09</t>
  </si>
  <si>
    <t xml:space="preserve">Limited transport via Ganqimaodu</t>
  </si>
  <si>
    <t xml:space="preserve">Blue = input from the cited source. "derived" = calculated from reported growth rates or totals; see Notes.</t>
  </si>
  <si>
    <t xml:space="preserve">Date</t>
  </si>
  <si>
    <t xml:space="preserve">Satellite</t>
  </si>
  <si>
    <t xml:space="preserve">Orbit</t>
  </si>
  <si>
    <t xml:space="preserve">Road p90 above desert (dB)</t>
  </si>
  <si>
    <t xml:space="preserve">Use (1/0)</t>
  </si>
  <si>
    <t xml:space="preserve">Flag</t>
  </si>
  <si>
    <t xml:space="preserve">2024-01</t>
  </si>
  <si>
    <t xml:space="preserve">Sentinel-1A</t>
  </si>
  <si>
    <t xml:space="preserve">2024-03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</si>
  <si>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</si>
  <si>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</si>
  <si>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</si>
  <si>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</si>
  <si>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</si>
  <si>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</si>
  <si>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</si>
  <si>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</si>
  <si>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Sentinel-1C</t>
  </si>
  <si>
    <t xml:space="preserve">Sentinel-1D</t>
  </si>
  <si>
    <t xml:space="preserve">Implausible: about 3x any other scene. Early Sentinel-1D scene, likely bad.</t>
  </si>
  <si>
    <t xml:space="preserve">Source: your build_s1_signal.py output (data\s1_gashuunsukhait.csv), column road_p90_db. Orbits 84 and 164 only.</t>
  </si>
  <si>
    <t xml:space="preserve">Use = 0 excludes a scene from the "flag excluded" variant only. The pre-registered rule uses every orbit 164 scene.</t>
  </si>
  <si>
    <t xml:space="preserve">Discovery: 2025, where the rule was found (orbit 164 started in April 2025; no orbit 164 scene in May 2025)</t>
  </si>
  <si>
    <t xml:space="preserve">Signal = monthly average of road p90 brightness above the control desert, from the Scenes tab. Trend = straight line fitted over the period; residual = value minus trend.</t>
  </si>
  <si>
    <t xml:space="preserve">t</t>
  </si>
  <si>
    <t xml:space="preserve">Exports trend</t>
  </si>
  <si>
    <t xml:space="preserve">Exports residual</t>
  </si>
  <si>
    <t xml:space="preserve">Orbit 164 (rule)</t>
  </si>
  <si>
    <t xml:space="preserve">Orbit 164 (rule): trend</t>
  </si>
  <si>
    <t xml:space="preserve">Orbit 164 (rule): residual</t>
  </si>
  <si>
    <t xml:space="preserve">Results</t>
  </si>
  <si>
    <t xml:space="preserve">Signal</t>
  </si>
  <si>
    <t xml:space="preserve">Correlation</t>
  </si>
  <si>
    <t xml:space="preserve">After removing trend</t>
  </si>
  <si>
    <t xml:space="preserve">Out-of-sample test: January to September 2026, rule fixed in advance</t>
  </si>
  <si>
    <t xml:space="preserve">Orbit 164 (rule as registered)</t>
  </si>
  <si>
    <t xml:space="preserve">Orbit 164 (rule as registered): trend</t>
  </si>
  <si>
    <t xml:space="preserve">Orbit 164 (rule as registered): residual</t>
  </si>
  <si>
    <t xml:space="preserve">Sentinel-1C scenes only</t>
  </si>
  <si>
    <t xml:space="preserve">Sentinel-1C scenes only: trend</t>
  </si>
  <si>
    <t xml:space="preserve">Sentinel-1C scenes only: residual</t>
  </si>
  <si>
    <t xml:space="preserve">Flagged scene excluded</t>
  </si>
  <si>
    <t xml:space="preserve">Flagged scene excluded: trend</t>
  </si>
  <si>
    <t xml:space="preserve">Flagged scene excluded: residual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</si>
</sst>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+0.00;\-0.00"/>
    <numFmt numFmtId="167" formatCode="0.00"/>
    <numFmt numFmtId="168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ysteel.net/news/5113518-mongolias-coal-exports-surge-over-73-yoy-in-january" TargetMode="External"/><Relationship Id="rId2" Type="http://schemas.openxmlformats.org/officeDocument/2006/relationships/hyperlink" Target="https://www.bigmint.co/insights/detail/mongolia-coal-exports-climb-up-by-over-20-m-o-m-in-apr25-647775" TargetMode="External"/><Relationship Id="rId3" Type="http://schemas.openxmlformats.org/officeDocument/2006/relationships/hyperlink" Target="https://www.bigmint.co/insights/detail/mongolia-coal-exports-climb-up-by-over-20-m-o-m-in-apr25-647775" TargetMode="External"/><Relationship Id="rId4" Type="http://schemas.openxmlformats.org/officeDocument/2006/relationships/hyperlink" Target="https://www.bigmint.co/insights/detail/mongolia-coal-exports-climb-up-by-over-20-m-o-m-in-apr25-647775" TargetMode="External"/><Relationship Id="rId5" Type="http://schemas.openxmlformats.org/officeDocument/2006/relationships/hyperlink" Target="https://www.mysteel.net/news/5127214-mongolia-coal-exports-rocket-by-44-yoy-in-may" TargetMode="External"/><Relationship Id="rId6" Type="http://schemas.openxmlformats.org/officeDocument/2006/relationships/hyperlink" Target="https://www.mysteel.net/news/5131819-mongolias-h1-coal-exports-surge-56-yoy" TargetMode="External"/><Relationship Id="rId7" Type="http://schemas.openxmlformats.org/officeDocument/2006/relationships/hyperlink" Target="https://www.mysteel.net/news/5109865-mongolias-2025-coal-exports-top-annual-target-set-new-record-high" TargetMode="External"/><Relationship Id="rId8" Type="http://schemas.openxmlformats.org/officeDocument/2006/relationships/hyperlink" Target="https://www.mysteel.net/news/5100744-mongolias-coal-exports-surge-to-multi-year-high-in-september" TargetMode="External"/><Relationship Id="rId9" Type="http://schemas.openxmlformats.org/officeDocument/2006/relationships/hyperlink" Target="https://www.mysteel.net/news/5100744-mongolias-coal-exports-surge-to-multi-year-high-in-september" TargetMode="External"/><Relationship Id="rId10" Type="http://schemas.openxmlformats.org/officeDocument/2006/relationships/hyperlink" Target="https://www.mysteel.net/news/5103703-mongolias-october-coal-exports-dip-2-yoy-26-mom" TargetMode="External"/><Relationship Id="rId11" Type="http://schemas.openxmlformats.org/officeDocument/2006/relationships/hyperlink" Target="https://apbi-icma.org/media-article/mongolia-nov-coal-exports-surge-to-over-9mt-keeping-2025-target-within-reach" TargetMode="External"/><Relationship Id="rId12" Type="http://schemas.openxmlformats.org/officeDocument/2006/relationships/hyperlink" Target="https://www.mysteel.net/news/5109865-mongolias-2025-coal-exports-top-annual-target-set-new-record-high" TargetMode="External"/><Relationship Id="rId13" Type="http://schemas.openxmlformats.org/officeDocument/2006/relationships/hyperlink" Target="https://www.mysteel.net/news/5113518-mongolias-coal-exports-surge-over-73-yoy-in-january" TargetMode="External"/><Relationship Id="rId14" Type="http://schemas.openxmlformats.org/officeDocument/2006/relationships/hyperlink" Target="https://www.mysteel.net/news/5115319-cny-holiday-drives-down-mongolian-coal-exports-to-china-in-feb" TargetMode="External"/><Relationship Id="rId15" Type="http://schemas.openxmlformats.org/officeDocument/2006/relationships/hyperlink" Target="https://www.mysteel.net/news/5119200-mongolias-march-coal-exports-hit-historical-high-on-robust-chinese-demand" TargetMode="External"/><Relationship Id="rId16" Type="http://schemas.openxmlformats.org/officeDocument/2006/relationships/hyperlink" Target="https://www.mysteel.net/news/5123199-mongolia-coal-exports-see-another-monthly-record-in-april" TargetMode="External"/><Relationship Id="rId17" Type="http://schemas.openxmlformats.org/officeDocument/2006/relationships/hyperlink" Target="https://www.mysteel.net/news/5127214-mongolia-coal-exports-rocket-by-44-yoy-in-may" TargetMode="External"/><Relationship Id="rId18" Type="http://schemas.openxmlformats.org/officeDocument/2006/relationships/hyperlink" Target="https://www.mysteel.net/news/5131819-mongolias-h1-coal-exports-surge-56-yoy" TargetMode="External"/><Relationship Id="rId19" Type="http://schemas.openxmlformats.org/officeDocument/2006/relationships/hyperlink" Target="https://www.mysteel.net/news/5136085-mongolias-july-coal-exports-drop-11-mom-as-holidays-shut-customs-posts" TargetMode="External"/><Relationship Id="rId20" Type="http://schemas.openxmlformats.org/officeDocument/2006/relationships/hyperlink" Target="https://www.mysteel.net/news/5143838-limited-transport-via-ganqimaodu-port-lowers-mongolian-coal-exports-in-sept" TargetMode="External"/><Relationship Id="rId21" Type="http://schemas.openxmlformats.org/officeDocument/2006/relationships/hyperlink" Target="https://www.mysteel.net/news/5143838-limited-transport-via-ganqimaodu-port-lowers-mongolian-coal-exports-in-sept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'Discovery 2025'!$C$16</f>
        <v>8</v>
      </c>
      <c r="C5" s="6" t="n">
        <f aca="false">'Discovery 2025'!$D$16</f>
        <v>0.797431596106128</v>
      </c>
      <c r="D5" s="6" t="n">
        <f aca="false">'Discovery 2025'!$E$16</f>
        <v>0.66659704296331</v>
      </c>
    </row>
    <row r="6" customFormat="false" ht="15" hidden="false" customHeight="false" outlineLevel="0" collapsed="false">
      <c r="A6" s="7" t="s">
        <v>7</v>
      </c>
      <c r="B6" s="8" t="n">
        <f aca="false">'Test 2026'!$C$17</f>
        <v>9</v>
      </c>
      <c r="C6" s="9" t="n">
        <f aca="false">'Test 2026'!$D$17</f>
        <v>0.109715341360035</v>
      </c>
      <c r="D6" s="9" t="n">
        <f aca="false">'Test 2026'!$E$17</f>
        <v>0.0913830541382629</v>
      </c>
    </row>
    <row r="7" customFormat="false" ht="15" hidden="false" customHeight="false" outlineLevel="0" collapsed="false">
      <c r="A7" s="4" t="s">
        <v>8</v>
      </c>
      <c r="B7" s="5" t="n">
        <f aca="false">'Test 2026'!$C$18</f>
        <v>9</v>
      </c>
      <c r="C7" s="6" t="n">
        <f aca="false">'Test 2026'!$D$18</f>
        <v>0.212236698626048</v>
      </c>
      <c r="D7" s="6" t="n">
        <f aca="false">'Test 2026'!$E$18</f>
        <v>0.229398143629299</v>
      </c>
    </row>
    <row r="8" customFormat="false" ht="15" hidden="false" customHeight="false" outlineLevel="0" collapsed="false">
      <c r="A8" s="4" t="s">
        <v>9</v>
      </c>
      <c r="B8" s="5" t="n">
        <f aca="false">'Test 2026'!$C$19</f>
        <v>9</v>
      </c>
      <c r="C8" s="6" t="n">
        <f aca="false">'Test 2026'!$D$19</f>
        <v>0.102412455356052</v>
      </c>
      <c r="D8" s="6" t="n">
        <f aca="false">'Test 2026'!$E$19</f>
        <v>0.0667226517005519</v>
      </c>
    </row>
    <row r="10" customFormat="false" ht="15" hidden="false" customHeight="false" outlineLevel="0" collapsed="false">
      <c r="A10" s="10" t="s">
        <v>10</v>
      </c>
    </row>
    <row r="11" customFormat="false" ht="42" hidden="false" customHeight="true" outlineLevel="0" collapsed="false">
      <c r="A11" s="11" t="s">
        <v>11</v>
      </c>
      <c r="B11" s="11"/>
      <c r="C11" s="11"/>
      <c r="D11" s="11"/>
    </row>
    <row r="13" customFormat="false" ht="15" hidden="false" customHeight="false" outlineLevel="0" collapsed="false">
      <c r="A13" s="10" t="s">
        <v>12</v>
      </c>
    </row>
    <row r="14" customFormat="false" ht="43.5" hidden="false" customHeight="true" outlineLevel="0" collapsed="false">
      <c r="A14" s="12" t="s">
        <v>13</v>
      </c>
      <c r="B14" s="11" t="s">
        <v>14</v>
      </c>
      <c r="C14" s="11"/>
      <c r="D14" s="11"/>
    </row>
    <row r="15" customFormat="false" ht="43.5" hidden="false" customHeight="true" outlineLevel="0" collapsed="false">
      <c r="A15" s="12" t="s">
        <v>15</v>
      </c>
      <c r="B15" s="11" t="s">
        <v>16</v>
      </c>
      <c r="C15" s="11"/>
      <c r="D15" s="11"/>
    </row>
    <row r="16" customFormat="false" ht="43.5" hidden="false" customHeight="true" outlineLevel="0" collapsed="false">
      <c r="A16" s="12" t="s">
        <v>17</v>
      </c>
      <c r="B16" s="11" t="s">
        <v>18</v>
      </c>
      <c r="C16" s="11"/>
      <c r="D16" s="11"/>
    </row>
    <row r="18" customFormat="false" ht="15" hidden="false" customHeight="false" outlineLevel="0" collapsed="false">
      <c r="A18" s="10" t="s">
        <v>19</v>
      </c>
    </row>
    <row r="19" customFormat="false" ht="43.5" hidden="false" customHeight="true" outlineLevel="0" collapsed="false">
      <c r="A19" s="12" t="s">
        <v>20</v>
      </c>
      <c r="B19" s="11" t="s">
        <v>21</v>
      </c>
      <c r="C19" s="11"/>
      <c r="D19" s="11"/>
    </row>
    <row r="20" customFormat="false" ht="43.5" hidden="false" customHeight="true" outlineLevel="0" collapsed="false">
      <c r="A20" s="12" t="s">
        <v>22</v>
      </c>
      <c r="B20" s="11" t="s">
        <v>23</v>
      </c>
      <c r="C20" s="11"/>
      <c r="D20" s="11"/>
    </row>
    <row r="22" customFormat="false" ht="15" hidden="false" customHeight="false" outlineLevel="0" collapsed="false">
      <c r="A22" s="10" t="s">
        <v>24</v>
      </c>
    </row>
    <row r="23" customFormat="false" ht="43.5" hidden="false" customHeight="true" outlineLevel="0" collapsed="false">
      <c r="A23" s="12" t="s">
        <v>25</v>
      </c>
      <c r="B23" s="11" t="s">
        <v>26</v>
      </c>
      <c r="C23" s="11"/>
      <c r="D23" s="11"/>
    </row>
    <row r="24" customFormat="false" ht="43.5" hidden="false" customHeight="true" outlineLevel="0" collapsed="false">
      <c r="A24" s="12" t="s">
        <v>27</v>
      </c>
      <c r="B24" s="11" t="s">
        <v>28</v>
      </c>
      <c r="C24" s="11"/>
      <c r="D24" s="11"/>
    </row>
    <row r="25" customFormat="false" ht="43.5" hidden="false" customHeight="true" outlineLevel="0" collapsed="false">
      <c r="A25" s="12" t="s">
        <v>29</v>
      </c>
      <c r="B25" s="11" t="s">
        <v>30</v>
      </c>
      <c r="C25" s="11"/>
      <c r="D25" s="11"/>
    </row>
    <row r="40" customFormat="false" ht="15" hidden="false" customHeight="false" outlineLevel="0" collapsed="false">
      <c r="A40" s="2" t="s">
        <v>31</v>
      </c>
    </row>
  </sheetData>
  <mergeCells count="9">
    <mergeCell ref="A11:D11"/>
    <mergeCell ref="B14:D14"/>
    <mergeCell ref="B15:D15"/>
    <mergeCell ref="B16:D16"/>
    <mergeCell ref="B19:D19"/>
    <mergeCell ref="B20:D20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6" min="5" style="0" width="60"/>
  </cols>
  <sheetData>
    <row r="1" customFormat="false" ht="15" hidden="false" customHeight="fals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</row>
    <row r="2" customFormat="false" ht="15" hidden="false" customHeight="false" outlineLevel="0" collapsed="false">
      <c r="A2" s="13" t="s">
        <v>38</v>
      </c>
      <c r="B2" s="14" t="n">
        <v>5.83</v>
      </c>
      <c r="C2" s="13" t="s">
        <v>39</v>
      </c>
      <c r="D2" s="13" t="s">
        <v>40</v>
      </c>
      <c r="E2" s="13" t="s">
        <v>41</v>
      </c>
      <c r="F2" s="15" t="s">
        <v>42</v>
      </c>
    </row>
    <row r="3" customFormat="false" ht="15" hidden="false" customHeight="false" outlineLevel="0" collapsed="false">
      <c r="A3" s="13" t="s">
        <v>43</v>
      </c>
      <c r="B3" s="14" t="n">
        <v>5.69</v>
      </c>
      <c r="C3" s="13" t="s">
        <v>39</v>
      </c>
      <c r="D3" s="13" t="s">
        <v>40</v>
      </c>
      <c r="E3" s="13" t="s">
        <v>44</v>
      </c>
      <c r="F3" s="15" t="s">
        <v>45</v>
      </c>
    </row>
    <row r="4" customFormat="false" ht="15" hidden="false" customHeight="false" outlineLevel="0" collapsed="false">
      <c r="A4" s="13" t="s">
        <v>46</v>
      </c>
      <c r="B4" s="14" t="n">
        <v>6.01</v>
      </c>
      <c r="C4" s="13" t="s">
        <v>39</v>
      </c>
      <c r="D4" s="13" t="s">
        <v>40</v>
      </c>
      <c r="E4" s="13" t="s">
        <v>47</v>
      </c>
      <c r="F4" s="15" t="s">
        <v>45</v>
      </c>
    </row>
    <row r="5" customFormat="false" ht="15" hidden="false" customHeight="false" outlineLevel="0" collapsed="false">
      <c r="A5" s="13" t="s">
        <v>48</v>
      </c>
      <c r="B5" s="14" t="n">
        <v>7.43</v>
      </c>
      <c r="C5" s="13" t="s">
        <v>49</v>
      </c>
      <c r="D5" s="13" t="s">
        <v>40</v>
      </c>
      <c r="E5" s="13" t="s">
        <v>50</v>
      </c>
      <c r="F5" s="15" t="s">
        <v>45</v>
      </c>
    </row>
    <row r="6" customFormat="false" ht="15" hidden="false" customHeight="false" outlineLevel="0" collapsed="false">
      <c r="A6" s="13" t="s">
        <v>51</v>
      </c>
      <c r="B6" s="14" t="n">
        <v>6.83</v>
      </c>
      <c r="C6" s="13" t="s">
        <v>39</v>
      </c>
      <c r="D6" s="13" t="s">
        <v>40</v>
      </c>
      <c r="E6" s="13" t="s">
        <v>52</v>
      </c>
      <c r="F6" s="15" t="s">
        <v>53</v>
      </c>
    </row>
    <row r="7" customFormat="false" ht="15" hidden="false" customHeight="false" outlineLevel="0" collapsed="false">
      <c r="A7" s="13" t="s">
        <v>54</v>
      </c>
      <c r="B7" s="14" t="n">
        <v>6.17</v>
      </c>
      <c r="C7" s="13" t="s">
        <v>39</v>
      </c>
      <c r="D7" s="13" t="s">
        <v>40</v>
      </c>
      <c r="E7" s="13" t="s">
        <v>55</v>
      </c>
      <c r="F7" s="15" t="s">
        <v>56</v>
      </c>
    </row>
    <row r="8" customFormat="false" ht="15" hidden="false" customHeight="false" outlineLevel="0" collapsed="false">
      <c r="A8" s="13" t="s">
        <v>57</v>
      </c>
      <c r="B8" s="14" t="n">
        <v>6.76</v>
      </c>
      <c r="C8" s="13" t="s">
        <v>39</v>
      </c>
      <c r="D8" s="13" t="s">
        <v>40</v>
      </c>
      <c r="E8" s="13" t="s">
        <v>58</v>
      </c>
      <c r="F8" s="15" t="s">
        <v>59</v>
      </c>
    </row>
    <row r="9" customFormat="false" ht="15" hidden="false" customHeight="false" outlineLevel="0" collapsed="false">
      <c r="A9" s="13" t="s">
        <v>60</v>
      </c>
      <c r="B9" s="14" t="n">
        <v>8.52</v>
      </c>
      <c r="C9" s="13" t="s">
        <v>39</v>
      </c>
      <c r="D9" s="13" t="s">
        <v>40</v>
      </c>
      <c r="E9" s="13" t="s">
        <v>61</v>
      </c>
      <c r="F9" s="15" t="s">
        <v>62</v>
      </c>
    </row>
    <row r="10" customFormat="false" ht="15" hidden="false" customHeight="false" outlineLevel="0" collapsed="false">
      <c r="A10" s="13" t="s">
        <v>63</v>
      </c>
      <c r="B10" s="14" t="n">
        <v>9.69</v>
      </c>
      <c r="C10" s="13" t="s">
        <v>49</v>
      </c>
      <c r="D10" s="13" t="s">
        <v>40</v>
      </c>
      <c r="E10" s="13" t="s">
        <v>64</v>
      </c>
      <c r="F10" s="15" t="s">
        <v>62</v>
      </c>
    </row>
    <row r="11" customFormat="false" ht="15" hidden="false" customHeight="false" outlineLevel="0" collapsed="false">
      <c r="A11" s="13" t="s">
        <v>65</v>
      </c>
      <c r="B11" s="14" t="n">
        <v>7.12</v>
      </c>
      <c r="C11" s="13" t="s">
        <v>49</v>
      </c>
      <c r="D11" s="13" t="s">
        <v>40</v>
      </c>
      <c r="E11" s="13"/>
      <c r="F11" s="15" t="s">
        <v>66</v>
      </c>
    </row>
    <row r="12" customFormat="false" ht="15" hidden="false" customHeight="false" outlineLevel="0" collapsed="false">
      <c r="A12" s="13" t="s">
        <v>67</v>
      </c>
      <c r="B12" s="14" t="n">
        <v>9.35</v>
      </c>
      <c r="C12" s="13" t="s">
        <v>49</v>
      </c>
      <c r="D12" s="13" t="s">
        <v>40</v>
      </c>
      <c r="E12" s="13" t="s">
        <v>68</v>
      </c>
      <c r="F12" s="15" t="s">
        <v>69</v>
      </c>
    </row>
    <row r="13" customFormat="false" ht="15" hidden="false" customHeight="false" outlineLevel="0" collapsed="false">
      <c r="A13" s="13" t="s">
        <v>70</v>
      </c>
      <c r="B13" s="14" t="n">
        <v>10.62</v>
      </c>
      <c r="C13" s="13" t="s">
        <v>49</v>
      </c>
      <c r="D13" s="13" t="s">
        <v>40</v>
      </c>
      <c r="E13" s="13" t="s">
        <v>71</v>
      </c>
      <c r="F13" s="15" t="s">
        <v>59</v>
      </c>
    </row>
    <row r="14" customFormat="false" ht="15" hidden="false" customHeight="false" outlineLevel="0" collapsed="false">
      <c r="A14" s="13" t="s">
        <v>72</v>
      </c>
      <c r="B14" s="14" t="n">
        <v>10.12</v>
      </c>
      <c r="C14" s="13" t="s">
        <v>49</v>
      </c>
      <c r="D14" s="13" t="s">
        <v>40</v>
      </c>
      <c r="E14" s="13"/>
      <c r="F14" s="15" t="s">
        <v>42</v>
      </c>
    </row>
    <row r="15" customFormat="false" ht="15" hidden="false" customHeight="false" outlineLevel="0" collapsed="false">
      <c r="A15" s="13" t="s">
        <v>73</v>
      </c>
      <c r="B15" s="14" t="n">
        <v>6.35</v>
      </c>
      <c r="C15" s="13" t="s">
        <v>49</v>
      </c>
      <c r="D15" s="13" t="s">
        <v>40</v>
      </c>
      <c r="E15" s="13" t="s">
        <v>74</v>
      </c>
      <c r="F15" s="15" t="s">
        <v>75</v>
      </c>
    </row>
    <row r="16" customFormat="false" ht="15" hidden="false" customHeight="false" outlineLevel="0" collapsed="false">
      <c r="A16" s="13" t="s">
        <v>76</v>
      </c>
      <c r="B16" s="14" t="n">
        <v>11.06</v>
      </c>
      <c r="C16" s="13" t="s">
        <v>49</v>
      </c>
      <c r="D16" s="13" t="s">
        <v>40</v>
      </c>
      <c r="E16" s="13" t="s">
        <v>77</v>
      </c>
      <c r="F16" s="15" t="s">
        <v>78</v>
      </c>
    </row>
    <row r="17" customFormat="false" ht="15" hidden="false" customHeight="false" outlineLevel="0" collapsed="false">
      <c r="A17" s="13" t="s">
        <v>79</v>
      </c>
      <c r="B17" s="14" t="n">
        <v>11.54</v>
      </c>
      <c r="C17" s="13" t="s">
        <v>49</v>
      </c>
      <c r="D17" s="13" t="s">
        <v>40</v>
      </c>
      <c r="E17" s="13" t="s">
        <v>80</v>
      </c>
      <c r="F17" s="15" t="s">
        <v>81</v>
      </c>
    </row>
    <row r="18" customFormat="false" ht="15" hidden="false" customHeight="false" outlineLevel="0" collapsed="false">
      <c r="A18" s="13" t="s">
        <v>82</v>
      </c>
      <c r="B18" s="14" t="n">
        <v>9.84</v>
      </c>
      <c r="C18" s="13" t="s">
        <v>49</v>
      </c>
      <c r="D18" s="13" t="s">
        <v>40</v>
      </c>
      <c r="E18" s="13" t="s">
        <v>83</v>
      </c>
      <c r="F18" s="15" t="s">
        <v>53</v>
      </c>
    </row>
    <row r="19" customFormat="false" ht="15" hidden="false" customHeight="false" outlineLevel="0" collapsed="false">
      <c r="A19" s="13" t="s">
        <v>84</v>
      </c>
      <c r="B19" s="14" t="n">
        <v>10.3</v>
      </c>
      <c r="C19" s="13" t="s">
        <v>39</v>
      </c>
      <c r="D19" s="13" t="s">
        <v>40</v>
      </c>
      <c r="E19" s="13" t="s">
        <v>85</v>
      </c>
      <c r="F19" s="15" t="s">
        <v>56</v>
      </c>
    </row>
    <row r="20" customFormat="false" ht="15" hidden="false" customHeight="false" outlineLevel="0" collapsed="false">
      <c r="A20" s="13" t="s">
        <v>86</v>
      </c>
      <c r="B20" s="14" t="n">
        <v>9.13</v>
      </c>
      <c r="C20" s="13" t="s">
        <v>49</v>
      </c>
      <c r="D20" s="13" t="s">
        <v>40</v>
      </c>
      <c r="E20" s="13" t="s">
        <v>87</v>
      </c>
      <c r="F20" s="15" t="s">
        <v>88</v>
      </c>
    </row>
    <row r="21" customFormat="false" ht="15" hidden="false" customHeight="false" outlineLevel="0" collapsed="false">
      <c r="A21" s="13" t="s">
        <v>89</v>
      </c>
      <c r="B21" s="14" t="n">
        <v>9.45</v>
      </c>
      <c r="C21" s="13" t="s">
        <v>39</v>
      </c>
      <c r="D21" s="13" t="s">
        <v>40</v>
      </c>
      <c r="E21" s="13" t="s">
        <v>90</v>
      </c>
      <c r="F21" s="15" t="s">
        <v>91</v>
      </c>
    </row>
    <row r="22" customFormat="false" ht="15" hidden="false" customHeight="false" outlineLevel="0" collapsed="false">
      <c r="A22" s="13" t="s">
        <v>92</v>
      </c>
      <c r="B22" s="14" t="n">
        <v>8.41</v>
      </c>
      <c r="C22" s="13" t="s">
        <v>49</v>
      </c>
      <c r="D22" s="13" t="s">
        <v>40</v>
      </c>
      <c r="E22" s="13" t="s">
        <v>93</v>
      </c>
      <c r="F22" s="15" t="s">
        <v>91</v>
      </c>
    </row>
    <row r="24" customFormat="false" ht="15" hidden="false" customHeight="false" outlineLevel="0" collapsed="false">
      <c r="A24" s="2" t="s">
        <v>94</v>
      </c>
    </row>
  </sheetData>
  <hyperlinks>
    <hyperlink ref="F2" r:id="rId1" display="https://www.mysteel.net/news/5113518-mongolias-coal-exports-surge-over-73-yoy-in-january"/>
    <hyperlink ref="F3" r:id="rId2" display="https://www.bigmint.co/insights/detail/mongolia-coal-exports-climb-up-by-over-20-m-o-m-in-apr25-647775"/>
    <hyperlink ref="F4" r:id="rId3" display="https://www.bigmint.co/insights/detail/mongolia-coal-exports-climb-up-by-over-20-m-o-m-in-apr25-647775"/>
    <hyperlink ref="F5" r:id="rId4" display="https://www.bigmint.co/insights/detail/mongolia-coal-exports-climb-up-by-over-20-m-o-m-in-apr25-647775"/>
    <hyperlink ref="F6" r:id="rId5" display="https://www.mysteel.net/news/5127214-mongolia-coal-exports-rocket-by-44-yoy-in-may"/>
    <hyperlink ref="F7" r:id="rId6" display="https://www.mysteel.net/news/5131819-mongolias-h1-coal-exports-surge-56-yoy"/>
    <hyperlink ref="F8" r:id="rId7" display="https://www.mysteel.net/news/5109865-mongolias-2025-coal-exports-top-annual-target-set-new-record-high"/>
    <hyperlink ref="F9" r:id="rId8" display="https://www.mysteel.net/news/5100744-mongolias-coal-exports-surge-to-multi-year-high-in-september"/>
    <hyperlink ref="F10" r:id="rId9" display="https://www.mysteel.net/news/5100744-mongolias-coal-exports-surge-to-multi-year-high-in-september"/>
    <hyperlink ref="F11" r:id="rId10" display="https://www.mysteel.net/news/5103703-mongolias-october-coal-exports-dip-2-yoy-26-mom"/>
    <hyperlink ref="F12" r:id="rId11" display="https://apbi-icma.org/media-article/mongolia-nov-coal-exports-surge-to-over-9mt-keeping-2025-target-within-reach"/>
    <hyperlink ref="F13" r:id="rId12" display="https://www.mysteel.net/news/5109865-mongolias-2025-coal-exports-top-annual-target-set-new-record-high"/>
    <hyperlink ref="F14" r:id="rId13" display="https://www.mysteel.net/news/5113518-mongolias-coal-exports-surge-over-73-yoy-in-january"/>
    <hyperlink ref="F15" r:id="rId14" display="https://www.mysteel.net/news/5115319-cny-holiday-drives-down-mongolian-coal-exports-to-china-in-feb"/>
    <hyperlink ref="F16" r:id="rId15" display="https://www.mysteel.net/news/5119200-mongolias-march-coal-exports-hit-historical-high-on-robust-chinese-demand"/>
    <hyperlink ref="F17" r:id="rId16" display="https://www.mysteel.net/news/5123199-mongolia-coal-exports-see-another-monthly-record-in-april"/>
    <hyperlink ref="F18" r:id="rId17" display="https://www.mysteel.net/news/5127214-mongolia-coal-exports-rocket-by-44-yoy-in-may"/>
    <hyperlink ref="F19" r:id="rId18" display="https://www.mysteel.net/news/5131819-mongolias-h1-coal-exports-surge-56-yoy"/>
    <hyperlink ref="F20" r:id="rId19" display="https://www.mysteel.net/news/5136085-mongolias-july-coal-exports-drop-11-mom-as-holidays-shut-customs-posts"/>
    <hyperlink ref="F21" r:id="rId20" display="https://www.mysteel.net/news/5143838-limited-transport-via-ganqimaodu-port-lowers-mongolian-coal-exports-in-sept"/>
    <hyperlink ref="F22" r:id="rId21" display="https://www.mysteel.net/news/5143838-limited-transport-via-ganqimaodu-port-lowers-mongolian-coal-exports-in-sep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52"/>
  </cols>
  <sheetData>
    <row r="1" customFormat="false" ht="35.05" hidden="false" customHeight="false" outlineLevel="0" collapsed="false">
      <c r="A1" s="3" t="s">
        <v>95</v>
      </c>
      <c r="B1" s="3" t="s">
        <v>32</v>
      </c>
      <c r="C1" s="3" t="s">
        <v>96</v>
      </c>
      <c r="D1" s="3" t="s">
        <v>97</v>
      </c>
      <c r="E1" s="3" t="s">
        <v>98</v>
      </c>
      <c r="F1" s="3" t="s">
        <v>99</v>
      </c>
      <c r="G1" s="3" t="s">
        <v>100</v>
      </c>
    </row>
    <row r="2" customFormat="false" ht="15" hidden="false" customHeight="false" outlineLevel="0" collapsed="false">
      <c r="A2" s="16" t="n">
        <v>45319</v>
      </c>
      <c r="B2" s="13" t="s">
        <v>101</v>
      </c>
      <c r="C2" s="13" t="s">
        <v>102</v>
      </c>
      <c r="D2" s="13" t="n">
        <v>84</v>
      </c>
      <c r="E2" s="14" t="n">
        <v>16.22319412</v>
      </c>
      <c r="F2" s="17" t="n">
        <v>1</v>
      </c>
    </row>
    <row r="3" customFormat="false" ht="15" hidden="false" customHeight="false" outlineLevel="0" collapsed="false">
      <c r="A3" s="16" t="n">
        <v>45355</v>
      </c>
      <c r="B3" s="13" t="s">
        <v>103</v>
      </c>
      <c r="C3" s="13" t="s">
        <v>102</v>
      </c>
      <c r="D3" s="13" t="n">
        <v>84</v>
      </c>
      <c r="E3" s="14" t="n">
        <v>23.99374962</v>
      </c>
      <c r="F3" s="17" t="n">
        <v>1</v>
      </c>
    </row>
    <row r="4" customFormat="false" ht="15" hidden="false" customHeight="false" outlineLevel="0" collapsed="false">
      <c r="A4" s="16" t="n">
        <v>45439</v>
      </c>
      <c r="B4" s="13" t="s">
        <v>104</v>
      </c>
      <c r="C4" s="13" t="s">
        <v>102</v>
      </c>
      <c r="D4" s="13" t="n">
        <v>84</v>
      </c>
      <c r="E4" s="14" t="n">
        <v>21.71601486</v>
      </c>
      <c r="F4" s="17" t="n">
        <v>1</v>
      </c>
    </row>
    <row r="5" customFormat="false" ht="15" hidden="false" customHeight="false" outlineLevel="0" collapsed="false">
      <c r="A5" s="16" t="n">
        <v>45463</v>
      </c>
      <c r="B5" s="13" t="s">
        <v>105</v>
      </c>
      <c r="C5" s="13" t="s">
        <v>102</v>
      </c>
      <c r="D5" s="13" t="n">
        <v>84</v>
      </c>
      <c r="E5" s="14" t="n">
        <v>23.08437538</v>
      </c>
      <c r="F5" s="17" t="n">
        <v>1</v>
      </c>
    </row>
    <row r="6" customFormat="false" ht="15" hidden="false" customHeight="false" outlineLevel="0" collapsed="false">
      <c r="A6" s="16" t="n">
        <v>45487</v>
      </c>
      <c r="B6" s="13" t="s">
        <v>106</v>
      </c>
      <c r="C6" s="13" t="s">
        <v>102</v>
      </c>
      <c r="D6" s="13" t="n">
        <v>84</v>
      </c>
      <c r="E6" s="14" t="n">
        <v>19.33671951</v>
      </c>
      <c r="F6" s="17" t="n">
        <v>1</v>
      </c>
    </row>
    <row r="7" customFormat="false" ht="15" hidden="false" customHeight="false" outlineLevel="0" collapsed="false">
      <c r="A7" s="16" t="n">
        <v>45499</v>
      </c>
      <c r="B7" s="13" t="s">
        <v>106</v>
      </c>
      <c r="C7" s="13" t="s">
        <v>102</v>
      </c>
      <c r="D7" s="13" t="n">
        <v>84</v>
      </c>
      <c r="E7" s="14" t="n">
        <v>20.43554688</v>
      </c>
      <c r="F7" s="17" t="n">
        <v>1</v>
      </c>
    </row>
    <row r="8" customFormat="false" ht="15" hidden="false" customHeight="false" outlineLevel="0" collapsed="false">
      <c r="A8" s="16" t="n">
        <v>45523</v>
      </c>
      <c r="B8" s="13" t="s">
        <v>107</v>
      </c>
      <c r="C8" s="13" t="s">
        <v>102</v>
      </c>
      <c r="D8" s="13" t="n">
        <v>84</v>
      </c>
      <c r="E8" s="14" t="n">
        <v>23.9609375</v>
      </c>
      <c r="F8" s="17" t="n">
        <v>1</v>
      </c>
    </row>
    <row r="9" customFormat="false" ht="15" hidden="false" customHeight="false" outlineLevel="0" collapsed="false">
      <c r="A9" s="16" t="n">
        <v>45535</v>
      </c>
      <c r="B9" s="13" t="s">
        <v>107</v>
      </c>
      <c r="C9" s="13" t="s">
        <v>102</v>
      </c>
      <c r="D9" s="13" t="n">
        <v>84</v>
      </c>
      <c r="E9" s="14" t="n">
        <v>21.08554649</v>
      </c>
      <c r="F9" s="17" t="n">
        <v>1</v>
      </c>
    </row>
    <row r="10" customFormat="false" ht="15" hidden="false" customHeight="false" outlineLevel="0" collapsed="false">
      <c r="A10" s="16" t="n">
        <v>45547</v>
      </c>
      <c r="B10" s="13" t="s">
        <v>108</v>
      </c>
      <c r="C10" s="13" t="s">
        <v>102</v>
      </c>
      <c r="D10" s="13" t="n">
        <v>84</v>
      </c>
      <c r="E10" s="14" t="n">
        <v>22.66562462</v>
      </c>
      <c r="F10" s="17" t="n">
        <v>1</v>
      </c>
    </row>
    <row r="11" customFormat="false" ht="15" hidden="false" customHeight="false" outlineLevel="0" collapsed="false">
      <c r="A11" s="16" t="n">
        <v>45559</v>
      </c>
      <c r="B11" s="13" t="s">
        <v>108</v>
      </c>
      <c r="C11" s="13" t="s">
        <v>102</v>
      </c>
      <c r="D11" s="13" t="n">
        <v>84</v>
      </c>
      <c r="E11" s="14" t="n">
        <v>23.11874962</v>
      </c>
      <c r="F11" s="17" t="n">
        <v>1</v>
      </c>
    </row>
    <row r="12" customFormat="false" ht="15" hidden="false" customHeight="false" outlineLevel="0" collapsed="false">
      <c r="A12" s="16" t="n">
        <v>45571</v>
      </c>
      <c r="B12" s="13" t="s">
        <v>109</v>
      </c>
      <c r="C12" s="13" t="s">
        <v>102</v>
      </c>
      <c r="D12" s="13" t="n">
        <v>84</v>
      </c>
      <c r="E12" s="14" t="n">
        <v>19.04961014</v>
      </c>
      <c r="F12" s="17" t="n">
        <v>1</v>
      </c>
    </row>
    <row r="13" customFormat="false" ht="15" hidden="false" customHeight="false" outlineLevel="0" collapsed="false">
      <c r="A13" s="16" t="n">
        <v>45583</v>
      </c>
      <c r="B13" s="13" t="s">
        <v>109</v>
      </c>
      <c r="C13" s="13" t="s">
        <v>102</v>
      </c>
      <c r="D13" s="13" t="n">
        <v>84</v>
      </c>
      <c r="E13" s="14" t="n">
        <v>20.18359375</v>
      </c>
      <c r="F13" s="17" t="n">
        <v>1</v>
      </c>
    </row>
    <row r="14" customFormat="false" ht="15" hidden="false" customHeight="false" outlineLevel="0" collapsed="false">
      <c r="A14" s="16" t="n">
        <v>45595</v>
      </c>
      <c r="B14" s="13" t="s">
        <v>109</v>
      </c>
      <c r="C14" s="13" t="s">
        <v>102</v>
      </c>
      <c r="D14" s="13" t="n">
        <v>84</v>
      </c>
      <c r="E14" s="14" t="n">
        <v>22.22304726</v>
      </c>
      <c r="F14" s="17" t="n">
        <v>1</v>
      </c>
    </row>
    <row r="15" customFormat="false" ht="15" hidden="false" customHeight="false" outlineLevel="0" collapsed="false">
      <c r="A15" s="16" t="n">
        <v>45619</v>
      </c>
      <c r="B15" s="13" t="s">
        <v>110</v>
      </c>
      <c r="C15" s="13" t="s">
        <v>102</v>
      </c>
      <c r="D15" s="13" t="n">
        <v>84</v>
      </c>
      <c r="E15" s="14" t="n">
        <v>20.72539139</v>
      </c>
      <c r="F15" s="17" t="n">
        <v>1</v>
      </c>
    </row>
    <row r="16" customFormat="false" ht="15" hidden="false" customHeight="false" outlineLevel="0" collapsed="false">
      <c r="A16" s="16" t="n">
        <v>45631</v>
      </c>
      <c r="B16" s="13" t="s">
        <v>111</v>
      </c>
      <c r="C16" s="13" t="s">
        <v>102</v>
      </c>
      <c r="D16" s="13" t="n">
        <v>84</v>
      </c>
      <c r="E16" s="14" t="n">
        <v>21.71523476</v>
      </c>
      <c r="F16" s="17" t="n">
        <v>1</v>
      </c>
    </row>
    <row r="17" customFormat="false" ht="15" hidden="false" customHeight="false" outlineLevel="0" collapsed="false">
      <c r="A17" s="16" t="n">
        <v>45643</v>
      </c>
      <c r="B17" s="13" t="s">
        <v>111</v>
      </c>
      <c r="C17" s="13" t="s">
        <v>102</v>
      </c>
      <c r="D17" s="13" t="n">
        <v>84</v>
      </c>
      <c r="E17" s="14" t="n">
        <v>23.78046799</v>
      </c>
      <c r="F17" s="17" t="n">
        <v>1</v>
      </c>
    </row>
    <row r="18" customFormat="false" ht="15" hidden="false" customHeight="false" outlineLevel="0" collapsed="false">
      <c r="A18" s="16" t="n">
        <v>45655</v>
      </c>
      <c r="B18" s="13" t="s">
        <v>111</v>
      </c>
      <c r="C18" s="13" t="s">
        <v>102</v>
      </c>
      <c r="D18" s="13" t="n">
        <v>84</v>
      </c>
      <c r="E18" s="14" t="n">
        <v>21.24980545</v>
      </c>
      <c r="F18" s="17" t="n">
        <v>1</v>
      </c>
    </row>
    <row r="19" customFormat="false" ht="15" hidden="false" customHeight="false" outlineLevel="0" collapsed="false">
      <c r="A19" s="16" t="n">
        <v>45667</v>
      </c>
      <c r="B19" s="13" t="s">
        <v>38</v>
      </c>
      <c r="C19" s="13" t="s">
        <v>102</v>
      </c>
      <c r="D19" s="13" t="n">
        <v>84</v>
      </c>
      <c r="E19" s="14" t="n">
        <v>22.86445236</v>
      </c>
      <c r="F19" s="17" t="n">
        <v>1</v>
      </c>
    </row>
    <row r="20" customFormat="false" ht="15" hidden="false" customHeight="false" outlineLevel="0" collapsed="false">
      <c r="A20" s="16" t="n">
        <v>45679</v>
      </c>
      <c r="B20" s="13" t="s">
        <v>38</v>
      </c>
      <c r="C20" s="13" t="s">
        <v>102</v>
      </c>
      <c r="D20" s="13" t="n">
        <v>84</v>
      </c>
      <c r="E20" s="14" t="n">
        <v>22.45390701</v>
      </c>
      <c r="F20" s="17" t="n">
        <v>1</v>
      </c>
    </row>
    <row r="21" customFormat="false" ht="15" hidden="false" customHeight="false" outlineLevel="0" collapsed="false">
      <c r="A21" s="16" t="n">
        <v>45691</v>
      </c>
      <c r="B21" s="13" t="s">
        <v>43</v>
      </c>
      <c r="C21" s="13" t="s">
        <v>102</v>
      </c>
      <c r="D21" s="13" t="n">
        <v>84</v>
      </c>
      <c r="E21" s="14" t="n">
        <v>20.09707069</v>
      </c>
      <c r="F21" s="17" t="n">
        <v>1</v>
      </c>
    </row>
    <row r="22" customFormat="false" ht="15" hidden="false" customHeight="false" outlineLevel="0" collapsed="false">
      <c r="A22" s="16" t="n">
        <v>45715</v>
      </c>
      <c r="B22" s="13" t="s">
        <v>43</v>
      </c>
      <c r="C22" s="13" t="s">
        <v>102</v>
      </c>
      <c r="D22" s="13" t="n">
        <v>84</v>
      </c>
      <c r="E22" s="14" t="n">
        <v>20.34453201</v>
      </c>
      <c r="F22" s="17" t="n">
        <v>1</v>
      </c>
    </row>
    <row r="23" customFormat="false" ht="15" hidden="false" customHeight="false" outlineLevel="0" collapsed="false">
      <c r="A23" s="16" t="n">
        <v>45727</v>
      </c>
      <c r="B23" s="13" t="s">
        <v>46</v>
      </c>
      <c r="C23" s="13" t="s">
        <v>102</v>
      </c>
      <c r="D23" s="13" t="n">
        <v>84</v>
      </c>
      <c r="E23" s="14" t="n">
        <v>23.16992188</v>
      </c>
      <c r="F23" s="17" t="n">
        <v>1</v>
      </c>
    </row>
    <row r="24" customFormat="false" ht="15" hidden="false" customHeight="false" outlineLevel="0" collapsed="false">
      <c r="A24" s="16" t="n">
        <v>45750</v>
      </c>
      <c r="B24" s="13" t="s">
        <v>48</v>
      </c>
      <c r="C24" s="13" t="s">
        <v>112</v>
      </c>
      <c r="D24" s="13" t="n">
        <v>164</v>
      </c>
      <c r="E24" s="14" t="n">
        <v>14.11328125</v>
      </c>
      <c r="F24" s="17" t="n">
        <v>1</v>
      </c>
    </row>
    <row r="25" customFormat="false" ht="15" hidden="false" customHeight="false" outlineLevel="0" collapsed="false">
      <c r="A25" s="16" t="n">
        <v>45751</v>
      </c>
      <c r="B25" s="13" t="s">
        <v>48</v>
      </c>
      <c r="C25" s="13" t="s">
        <v>102</v>
      </c>
      <c r="D25" s="13" t="n">
        <v>84</v>
      </c>
      <c r="E25" s="14" t="n">
        <v>21.765625</v>
      </c>
      <c r="F25" s="17" t="n">
        <v>1</v>
      </c>
    </row>
    <row r="26" customFormat="false" ht="15" hidden="false" customHeight="false" outlineLevel="0" collapsed="false">
      <c r="A26" s="16" t="n">
        <v>45762</v>
      </c>
      <c r="B26" s="13" t="s">
        <v>48</v>
      </c>
      <c r="C26" s="13" t="s">
        <v>112</v>
      </c>
      <c r="D26" s="13" t="n">
        <v>164</v>
      </c>
      <c r="E26" s="14" t="n">
        <v>13.73046875</v>
      </c>
      <c r="F26" s="17" t="n">
        <v>1</v>
      </c>
    </row>
    <row r="27" customFormat="false" ht="15" hidden="false" customHeight="false" outlineLevel="0" collapsed="false">
      <c r="A27" s="16" t="n">
        <v>45763</v>
      </c>
      <c r="B27" s="13" t="s">
        <v>48</v>
      </c>
      <c r="C27" s="13" t="s">
        <v>102</v>
      </c>
      <c r="D27" s="13" t="n">
        <v>84</v>
      </c>
      <c r="E27" s="14" t="n">
        <v>21.71171951</v>
      </c>
      <c r="F27" s="17" t="n">
        <v>1</v>
      </c>
    </row>
    <row r="28" customFormat="false" ht="15" hidden="false" customHeight="false" outlineLevel="0" collapsed="false">
      <c r="A28" s="16" t="n">
        <v>45774</v>
      </c>
      <c r="B28" s="13" t="s">
        <v>48</v>
      </c>
      <c r="C28" s="13" t="s">
        <v>112</v>
      </c>
      <c r="D28" s="13" t="n">
        <v>164</v>
      </c>
      <c r="E28" s="14" t="n">
        <v>13.63437462</v>
      </c>
      <c r="F28" s="17" t="n">
        <v>1</v>
      </c>
    </row>
    <row r="29" customFormat="false" ht="15" hidden="false" customHeight="false" outlineLevel="0" collapsed="false">
      <c r="A29" s="16" t="n">
        <v>45775</v>
      </c>
      <c r="B29" s="13" t="s">
        <v>48</v>
      </c>
      <c r="C29" s="13" t="s">
        <v>102</v>
      </c>
      <c r="D29" s="13" t="n">
        <v>84</v>
      </c>
      <c r="E29" s="14" t="n">
        <v>21.90351486</v>
      </c>
      <c r="F29" s="17" t="n">
        <v>1</v>
      </c>
    </row>
    <row r="30" customFormat="false" ht="15" hidden="false" customHeight="false" outlineLevel="0" collapsed="false">
      <c r="A30" s="16" t="n">
        <v>45787</v>
      </c>
      <c r="B30" s="13" t="s">
        <v>51</v>
      </c>
      <c r="C30" s="13" t="s">
        <v>102</v>
      </c>
      <c r="D30" s="13" t="n">
        <v>84</v>
      </c>
      <c r="E30" s="14" t="n">
        <v>22.21953201</v>
      </c>
      <c r="F30" s="17" t="n">
        <v>1</v>
      </c>
    </row>
    <row r="31" customFormat="false" ht="15" hidden="false" customHeight="false" outlineLevel="0" collapsed="false">
      <c r="A31" s="16" t="n">
        <v>45810</v>
      </c>
      <c r="B31" s="13" t="s">
        <v>54</v>
      </c>
      <c r="C31" s="13" t="s">
        <v>112</v>
      </c>
      <c r="D31" s="13" t="n">
        <v>164</v>
      </c>
      <c r="E31" s="14" t="n">
        <v>12.77109337</v>
      </c>
      <c r="F31" s="17" t="n">
        <v>1</v>
      </c>
    </row>
    <row r="32" customFormat="false" ht="15" hidden="false" customHeight="false" outlineLevel="0" collapsed="false">
      <c r="A32" s="16" t="n">
        <v>45811</v>
      </c>
      <c r="B32" s="13" t="s">
        <v>54</v>
      </c>
      <c r="C32" s="13" t="s">
        <v>102</v>
      </c>
      <c r="D32" s="13" t="n">
        <v>84</v>
      </c>
      <c r="E32" s="14" t="n">
        <v>19.82890701</v>
      </c>
      <c r="F32" s="17" t="n">
        <v>1</v>
      </c>
    </row>
    <row r="33" customFormat="false" ht="15" hidden="false" customHeight="false" outlineLevel="0" collapsed="false">
      <c r="A33" s="16" t="n">
        <v>45822</v>
      </c>
      <c r="B33" s="13" t="s">
        <v>54</v>
      </c>
      <c r="C33" s="13" t="s">
        <v>112</v>
      </c>
      <c r="D33" s="13" t="n">
        <v>164</v>
      </c>
      <c r="E33" s="14" t="n">
        <v>13.82324219</v>
      </c>
      <c r="F33" s="17" t="n">
        <v>1</v>
      </c>
    </row>
    <row r="34" customFormat="false" ht="15" hidden="false" customHeight="false" outlineLevel="0" collapsed="false">
      <c r="A34" s="16" t="n">
        <v>45823</v>
      </c>
      <c r="B34" s="13" t="s">
        <v>54</v>
      </c>
      <c r="C34" s="13" t="s">
        <v>102</v>
      </c>
      <c r="D34" s="13" t="n">
        <v>84</v>
      </c>
      <c r="E34" s="14" t="n">
        <v>20.91484451</v>
      </c>
      <c r="F34" s="17" t="n">
        <v>1</v>
      </c>
    </row>
    <row r="35" customFormat="false" ht="15" hidden="false" customHeight="false" outlineLevel="0" collapsed="false">
      <c r="A35" s="16" t="n">
        <v>45834</v>
      </c>
      <c r="B35" s="13" t="s">
        <v>54</v>
      </c>
      <c r="C35" s="13" t="s">
        <v>112</v>
      </c>
      <c r="D35" s="13" t="n">
        <v>164</v>
      </c>
      <c r="E35" s="14" t="n">
        <v>16.6916008</v>
      </c>
      <c r="F35" s="17" t="n">
        <v>1</v>
      </c>
    </row>
    <row r="36" customFormat="false" ht="15" hidden="false" customHeight="false" outlineLevel="0" collapsed="false">
      <c r="A36" s="16" t="n">
        <v>45835</v>
      </c>
      <c r="B36" s="13" t="s">
        <v>54</v>
      </c>
      <c r="C36" s="13" t="s">
        <v>102</v>
      </c>
      <c r="D36" s="13" t="n">
        <v>84</v>
      </c>
      <c r="E36" s="14" t="n">
        <v>21.54843712</v>
      </c>
      <c r="F36" s="17" t="n">
        <v>1</v>
      </c>
    </row>
    <row r="37" customFormat="false" ht="15" hidden="false" customHeight="false" outlineLevel="0" collapsed="false">
      <c r="A37" s="16" t="n">
        <v>45846</v>
      </c>
      <c r="B37" s="13" t="s">
        <v>57</v>
      </c>
      <c r="C37" s="13" t="s">
        <v>112</v>
      </c>
      <c r="D37" s="13" t="n">
        <v>164</v>
      </c>
      <c r="E37" s="14" t="n">
        <v>12.5993166</v>
      </c>
      <c r="F37" s="17" t="n">
        <v>1</v>
      </c>
    </row>
    <row r="38" customFormat="false" ht="15" hidden="false" customHeight="false" outlineLevel="0" collapsed="false">
      <c r="A38" s="16" t="n">
        <v>45847</v>
      </c>
      <c r="B38" s="13" t="s">
        <v>57</v>
      </c>
      <c r="C38" s="13" t="s">
        <v>102</v>
      </c>
      <c r="D38" s="13" t="n">
        <v>84</v>
      </c>
      <c r="E38" s="14" t="n">
        <v>21.93320274</v>
      </c>
      <c r="F38" s="17" t="n">
        <v>1</v>
      </c>
    </row>
    <row r="39" customFormat="false" ht="15" hidden="false" customHeight="false" outlineLevel="0" collapsed="false">
      <c r="A39" s="16" t="n">
        <v>45858</v>
      </c>
      <c r="B39" s="13" t="s">
        <v>57</v>
      </c>
      <c r="C39" s="13" t="s">
        <v>112</v>
      </c>
      <c r="D39" s="13" t="n">
        <v>164</v>
      </c>
      <c r="E39" s="14" t="n">
        <v>14.38701153</v>
      </c>
      <c r="F39" s="17" t="n">
        <v>1</v>
      </c>
    </row>
    <row r="40" customFormat="false" ht="15" hidden="false" customHeight="false" outlineLevel="0" collapsed="false">
      <c r="A40" s="16" t="n">
        <v>45859</v>
      </c>
      <c r="B40" s="13" t="s">
        <v>57</v>
      </c>
      <c r="C40" s="13" t="s">
        <v>102</v>
      </c>
      <c r="D40" s="13" t="n">
        <v>84</v>
      </c>
      <c r="E40" s="14" t="n">
        <v>22.49414063</v>
      </c>
      <c r="F40" s="17" t="n">
        <v>1</v>
      </c>
    </row>
    <row r="41" customFormat="false" ht="15" hidden="false" customHeight="false" outlineLevel="0" collapsed="false">
      <c r="A41" s="16" t="n">
        <v>45870</v>
      </c>
      <c r="B41" s="13" t="s">
        <v>60</v>
      </c>
      <c r="C41" s="13" t="s">
        <v>112</v>
      </c>
      <c r="D41" s="13" t="n">
        <v>164</v>
      </c>
      <c r="E41" s="14" t="n">
        <v>16.08867264</v>
      </c>
      <c r="F41" s="17" t="n">
        <v>1</v>
      </c>
    </row>
    <row r="42" customFormat="false" ht="15" hidden="false" customHeight="false" outlineLevel="0" collapsed="false">
      <c r="A42" s="16" t="n">
        <v>45871</v>
      </c>
      <c r="B42" s="13" t="s">
        <v>60</v>
      </c>
      <c r="C42" s="13" t="s">
        <v>102</v>
      </c>
      <c r="D42" s="13" t="n">
        <v>84</v>
      </c>
      <c r="E42" s="14" t="n">
        <v>22.78242111</v>
      </c>
      <c r="F42" s="17" t="n">
        <v>1</v>
      </c>
    </row>
    <row r="43" customFormat="false" ht="15" hidden="false" customHeight="false" outlineLevel="0" collapsed="false">
      <c r="A43" s="16" t="n">
        <v>45882</v>
      </c>
      <c r="B43" s="13" t="s">
        <v>60</v>
      </c>
      <c r="C43" s="13" t="s">
        <v>112</v>
      </c>
      <c r="D43" s="13" t="n">
        <v>164</v>
      </c>
      <c r="E43" s="14" t="n">
        <v>14.87834454</v>
      </c>
      <c r="F43" s="17" t="n">
        <v>1</v>
      </c>
    </row>
    <row r="44" customFormat="false" ht="15" hidden="false" customHeight="false" outlineLevel="0" collapsed="false">
      <c r="A44" s="16" t="n">
        <v>45883</v>
      </c>
      <c r="B44" s="13" t="s">
        <v>60</v>
      </c>
      <c r="C44" s="13" t="s">
        <v>102</v>
      </c>
      <c r="D44" s="13" t="n">
        <v>84</v>
      </c>
      <c r="E44" s="14" t="n">
        <v>21.83984375</v>
      </c>
      <c r="F44" s="17" t="n">
        <v>1</v>
      </c>
    </row>
    <row r="45" customFormat="false" ht="15" hidden="false" customHeight="false" outlineLevel="0" collapsed="false">
      <c r="A45" s="16" t="n">
        <v>45894</v>
      </c>
      <c r="B45" s="13" t="s">
        <v>60</v>
      </c>
      <c r="C45" s="13" t="s">
        <v>112</v>
      </c>
      <c r="D45" s="13" t="n">
        <v>164</v>
      </c>
      <c r="E45" s="14" t="n">
        <v>14.04423809</v>
      </c>
      <c r="F45" s="17" t="n">
        <v>1</v>
      </c>
    </row>
    <row r="46" customFormat="false" ht="15" hidden="false" customHeight="false" outlineLevel="0" collapsed="false">
      <c r="A46" s="16" t="n">
        <v>45895</v>
      </c>
      <c r="B46" s="13" t="s">
        <v>60</v>
      </c>
      <c r="C46" s="13" t="s">
        <v>102</v>
      </c>
      <c r="D46" s="13" t="n">
        <v>84</v>
      </c>
      <c r="E46" s="14" t="n">
        <v>21.16484451</v>
      </c>
      <c r="F46" s="17" t="n">
        <v>1</v>
      </c>
    </row>
    <row r="47" customFormat="false" ht="15" hidden="false" customHeight="false" outlineLevel="0" collapsed="false">
      <c r="A47" s="16" t="n">
        <v>45906</v>
      </c>
      <c r="B47" s="13" t="s">
        <v>63</v>
      </c>
      <c r="C47" s="13" t="s">
        <v>112</v>
      </c>
      <c r="D47" s="13" t="n">
        <v>164</v>
      </c>
      <c r="E47" s="14" t="n">
        <v>14.80073261</v>
      </c>
      <c r="F47" s="17" t="n">
        <v>1</v>
      </c>
    </row>
    <row r="48" customFormat="false" ht="15" hidden="false" customHeight="false" outlineLevel="0" collapsed="false">
      <c r="A48" s="16" t="n">
        <v>45907</v>
      </c>
      <c r="B48" s="13" t="s">
        <v>63</v>
      </c>
      <c r="C48" s="13" t="s">
        <v>102</v>
      </c>
      <c r="D48" s="13" t="n">
        <v>84</v>
      </c>
      <c r="E48" s="14" t="n">
        <v>19.72109413</v>
      </c>
      <c r="F48" s="17" t="n">
        <v>1</v>
      </c>
    </row>
    <row r="49" customFormat="false" ht="15" hidden="false" customHeight="false" outlineLevel="0" collapsed="false">
      <c r="A49" s="16" t="n">
        <v>45918</v>
      </c>
      <c r="B49" s="13" t="s">
        <v>63</v>
      </c>
      <c r="C49" s="13" t="s">
        <v>112</v>
      </c>
      <c r="D49" s="13" t="n">
        <v>164</v>
      </c>
      <c r="E49" s="14" t="n">
        <v>14.82441425</v>
      </c>
      <c r="F49" s="17" t="n">
        <v>1</v>
      </c>
    </row>
    <row r="50" customFormat="false" ht="15" hidden="false" customHeight="false" outlineLevel="0" collapsed="false">
      <c r="A50" s="16" t="n">
        <v>45919</v>
      </c>
      <c r="B50" s="13" t="s">
        <v>63</v>
      </c>
      <c r="C50" s="13" t="s">
        <v>102</v>
      </c>
      <c r="D50" s="13" t="n">
        <v>84</v>
      </c>
      <c r="E50" s="14" t="n">
        <v>21.55976486</v>
      </c>
      <c r="F50" s="17" t="n">
        <v>1</v>
      </c>
    </row>
    <row r="51" customFormat="false" ht="15" hidden="false" customHeight="false" outlineLevel="0" collapsed="false">
      <c r="A51" s="16" t="n">
        <v>45930</v>
      </c>
      <c r="B51" s="13" t="s">
        <v>63</v>
      </c>
      <c r="C51" s="13" t="s">
        <v>112</v>
      </c>
      <c r="D51" s="13" t="n">
        <v>164</v>
      </c>
      <c r="E51" s="14" t="n">
        <v>14.41992188</v>
      </c>
      <c r="F51" s="17" t="n">
        <v>1</v>
      </c>
    </row>
    <row r="52" customFormat="false" ht="15" hidden="false" customHeight="false" outlineLevel="0" collapsed="false">
      <c r="A52" s="16" t="n">
        <v>45931</v>
      </c>
      <c r="B52" s="13" t="s">
        <v>65</v>
      </c>
      <c r="C52" s="13" t="s">
        <v>102</v>
      </c>
      <c r="D52" s="13" t="n">
        <v>84</v>
      </c>
      <c r="E52" s="14" t="n">
        <v>19.26757813</v>
      </c>
      <c r="F52" s="17" t="n">
        <v>1</v>
      </c>
    </row>
    <row r="53" customFormat="false" ht="15" hidden="false" customHeight="false" outlineLevel="0" collapsed="false">
      <c r="A53" s="16" t="n">
        <v>45942</v>
      </c>
      <c r="B53" s="13" t="s">
        <v>65</v>
      </c>
      <c r="C53" s="13" t="s">
        <v>112</v>
      </c>
      <c r="D53" s="13" t="n">
        <v>164</v>
      </c>
      <c r="E53" s="14" t="n">
        <v>13.68867207</v>
      </c>
      <c r="F53" s="17" t="n">
        <v>1</v>
      </c>
    </row>
    <row r="54" customFormat="false" ht="15" hidden="false" customHeight="false" outlineLevel="0" collapsed="false">
      <c r="A54" s="16" t="n">
        <v>45943</v>
      </c>
      <c r="B54" s="13" t="s">
        <v>65</v>
      </c>
      <c r="C54" s="13" t="s">
        <v>102</v>
      </c>
      <c r="D54" s="13" t="n">
        <v>84</v>
      </c>
      <c r="E54" s="14" t="n">
        <v>20.84921837</v>
      </c>
      <c r="F54" s="17" t="n">
        <v>1</v>
      </c>
    </row>
    <row r="55" customFormat="false" ht="15" hidden="false" customHeight="false" outlineLevel="0" collapsed="false">
      <c r="A55" s="16" t="n">
        <v>45954</v>
      </c>
      <c r="B55" s="13" t="s">
        <v>65</v>
      </c>
      <c r="C55" s="13" t="s">
        <v>112</v>
      </c>
      <c r="D55" s="13" t="n">
        <v>164</v>
      </c>
      <c r="E55" s="14" t="n">
        <v>13.78957176</v>
      </c>
      <c r="F55" s="17" t="n">
        <v>1</v>
      </c>
    </row>
    <row r="56" customFormat="false" ht="15" hidden="false" customHeight="false" outlineLevel="0" collapsed="false">
      <c r="A56" s="16" t="n">
        <v>45955</v>
      </c>
      <c r="B56" s="13" t="s">
        <v>65</v>
      </c>
      <c r="C56" s="13" t="s">
        <v>102</v>
      </c>
      <c r="D56" s="13" t="n">
        <v>84</v>
      </c>
      <c r="E56" s="14" t="n">
        <v>22.01171875</v>
      </c>
      <c r="F56" s="17" t="n">
        <v>1</v>
      </c>
    </row>
    <row r="57" customFormat="false" ht="15" hidden="false" customHeight="false" outlineLevel="0" collapsed="false">
      <c r="A57" s="16" t="n">
        <v>45966</v>
      </c>
      <c r="B57" s="13" t="s">
        <v>67</v>
      </c>
      <c r="C57" s="13" t="s">
        <v>112</v>
      </c>
      <c r="D57" s="13" t="n">
        <v>164</v>
      </c>
      <c r="E57" s="14" t="n">
        <v>14.67480469</v>
      </c>
      <c r="F57" s="17" t="n">
        <v>1</v>
      </c>
    </row>
    <row r="58" customFormat="false" ht="15" hidden="false" customHeight="false" outlineLevel="0" collapsed="false">
      <c r="A58" s="16" t="n">
        <v>45967</v>
      </c>
      <c r="B58" s="13" t="s">
        <v>67</v>
      </c>
      <c r="C58" s="13" t="s">
        <v>102</v>
      </c>
      <c r="D58" s="13" t="n">
        <v>84</v>
      </c>
      <c r="E58" s="14" t="n">
        <v>22.75507736</v>
      </c>
      <c r="F58" s="17" t="n">
        <v>1</v>
      </c>
    </row>
    <row r="59" customFormat="false" ht="15" hidden="false" customHeight="false" outlineLevel="0" collapsed="false">
      <c r="A59" s="16" t="n">
        <v>45978</v>
      </c>
      <c r="B59" s="13" t="s">
        <v>67</v>
      </c>
      <c r="C59" s="13" t="s">
        <v>112</v>
      </c>
      <c r="D59" s="13" t="n">
        <v>164</v>
      </c>
      <c r="E59" s="14" t="n">
        <v>14.92851543</v>
      </c>
      <c r="F59" s="17" t="n">
        <v>1</v>
      </c>
    </row>
    <row r="60" customFormat="false" ht="15" hidden="false" customHeight="false" outlineLevel="0" collapsed="false">
      <c r="A60" s="16" t="n">
        <v>45979</v>
      </c>
      <c r="B60" s="13" t="s">
        <v>67</v>
      </c>
      <c r="C60" s="13" t="s">
        <v>102</v>
      </c>
      <c r="D60" s="13" t="n">
        <v>84</v>
      </c>
      <c r="E60" s="14" t="n">
        <v>22.61367226</v>
      </c>
      <c r="F60" s="17" t="n">
        <v>1</v>
      </c>
    </row>
    <row r="61" customFormat="false" ht="15" hidden="false" customHeight="false" outlineLevel="0" collapsed="false">
      <c r="A61" s="16" t="n">
        <v>45990</v>
      </c>
      <c r="B61" s="13" t="s">
        <v>67</v>
      </c>
      <c r="C61" s="13" t="s">
        <v>112</v>
      </c>
      <c r="D61" s="13" t="n">
        <v>164</v>
      </c>
      <c r="E61" s="14" t="n">
        <v>14.41250038</v>
      </c>
      <c r="F61" s="17" t="n">
        <v>1</v>
      </c>
    </row>
    <row r="62" customFormat="false" ht="15" hidden="false" customHeight="false" outlineLevel="0" collapsed="false">
      <c r="A62" s="16" t="n">
        <v>45991</v>
      </c>
      <c r="B62" s="13" t="s">
        <v>67</v>
      </c>
      <c r="C62" s="13" t="s">
        <v>102</v>
      </c>
      <c r="D62" s="13" t="n">
        <v>84</v>
      </c>
      <c r="E62" s="14" t="n">
        <v>19.74179649</v>
      </c>
      <c r="F62" s="17" t="n">
        <v>1</v>
      </c>
    </row>
    <row r="63" customFormat="false" ht="15" hidden="false" customHeight="false" outlineLevel="0" collapsed="false">
      <c r="A63" s="16" t="n">
        <v>46002</v>
      </c>
      <c r="B63" s="13" t="s">
        <v>70</v>
      </c>
      <c r="C63" s="13" t="s">
        <v>112</v>
      </c>
      <c r="D63" s="13" t="n">
        <v>164</v>
      </c>
      <c r="E63" s="14" t="n">
        <v>15.36464882</v>
      </c>
      <c r="F63" s="17" t="n">
        <v>1</v>
      </c>
    </row>
    <row r="64" customFormat="false" ht="15" hidden="false" customHeight="false" outlineLevel="0" collapsed="false">
      <c r="A64" s="16" t="n">
        <v>46003</v>
      </c>
      <c r="B64" s="13" t="s">
        <v>70</v>
      </c>
      <c r="C64" s="13" t="s">
        <v>102</v>
      </c>
      <c r="D64" s="13" t="n">
        <v>84</v>
      </c>
      <c r="E64" s="14" t="n">
        <v>22.23125076</v>
      </c>
      <c r="F64" s="17" t="n">
        <v>1</v>
      </c>
    </row>
    <row r="65" customFormat="false" ht="15" hidden="false" customHeight="false" outlineLevel="0" collapsed="false">
      <c r="A65" s="16" t="n">
        <v>46014</v>
      </c>
      <c r="B65" s="13" t="s">
        <v>70</v>
      </c>
      <c r="C65" s="13" t="s">
        <v>112</v>
      </c>
      <c r="D65" s="13" t="n">
        <v>164</v>
      </c>
      <c r="E65" s="14" t="n">
        <v>16.09082031</v>
      </c>
      <c r="F65" s="17" t="n">
        <v>1</v>
      </c>
    </row>
    <row r="66" customFormat="false" ht="15" hidden="false" customHeight="false" outlineLevel="0" collapsed="false">
      <c r="A66" s="16" t="n">
        <v>46015</v>
      </c>
      <c r="B66" s="13" t="s">
        <v>70</v>
      </c>
      <c r="C66" s="13" t="s">
        <v>102</v>
      </c>
      <c r="D66" s="13" t="n">
        <v>84</v>
      </c>
      <c r="E66" s="14" t="n">
        <v>23.28867149</v>
      </c>
      <c r="F66" s="17" t="n">
        <v>1</v>
      </c>
    </row>
    <row r="67" customFormat="false" ht="15" hidden="false" customHeight="false" outlineLevel="0" collapsed="false">
      <c r="A67" s="16" t="n">
        <v>46026</v>
      </c>
      <c r="B67" s="13" t="s">
        <v>72</v>
      </c>
      <c r="C67" s="13" t="s">
        <v>112</v>
      </c>
      <c r="D67" s="13" t="n">
        <v>164</v>
      </c>
      <c r="E67" s="14" t="n">
        <v>16.53828049</v>
      </c>
      <c r="F67" s="17" t="n">
        <v>1</v>
      </c>
    </row>
    <row r="68" customFormat="false" ht="15" hidden="false" customHeight="false" outlineLevel="0" collapsed="false">
      <c r="A68" s="16" t="n">
        <v>46027</v>
      </c>
      <c r="B68" s="13" t="s">
        <v>72</v>
      </c>
      <c r="C68" s="13" t="s">
        <v>102</v>
      </c>
      <c r="D68" s="13" t="n">
        <v>84</v>
      </c>
      <c r="E68" s="14" t="n">
        <v>24.66718674</v>
      </c>
      <c r="F68" s="17" t="n">
        <v>1</v>
      </c>
    </row>
    <row r="69" customFormat="false" ht="15" hidden="false" customHeight="false" outlineLevel="0" collapsed="false">
      <c r="A69" s="16" t="n">
        <v>46038</v>
      </c>
      <c r="B69" s="13" t="s">
        <v>72</v>
      </c>
      <c r="C69" s="13" t="s">
        <v>112</v>
      </c>
      <c r="D69" s="13" t="n">
        <v>164</v>
      </c>
      <c r="E69" s="14" t="n">
        <v>15.37333965</v>
      </c>
      <c r="F69" s="17" t="n">
        <v>1</v>
      </c>
    </row>
    <row r="70" customFormat="false" ht="15" hidden="false" customHeight="false" outlineLevel="0" collapsed="false">
      <c r="A70" s="16" t="n">
        <v>46039</v>
      </c>
      <c r="B70" s="13" t="s">
        <v>72</v>
      </c>
      <c r="C70" s="13" t="s">
        <v>102</v>
      </c>
      <c r="D70" s="13" t="n">
        <v>84</v>
      </c>
      <c r="E70" s="14" t="n">
        <v>24.00976563</v>
      </c>
      <c r="F70" s="17" t="n">
        <v>1</v>
      </c>
    </row>
    <row r="71" customFormat="false" ht="15" hidden="false" customHeight="false" outlineLevel="0" collapsed="false">
      <c r="A71" s="16" t="n">
        <v>46050</v>
      </c>
      <c r="B71" s="13" t="s">
        <v>72</v>
      </c>
      <c r="C71" s="13" t="s">
        <v>112</v>
      </c>
      <c r="D71" s="13" t="n">
        <v>164</v>
      </c>
      <c r="E71" s="14" t="n">
        <v>13.5020504</v>
      </c>
      <c r="F71" s="17" t="n">
        <v>1</v>
      </c>
    </row>
    <row r="72" customFormat="false" ht="15" hidden="false" customHeight="false" outlineLevel="0" collapsed="false">
      <c r="A72" s="16" t="n">
        <v>46051</v>
      </c>
      <c r="B72" s="13" t="s">
        <v>72</v>
      </c>
      <c r="C72" s="13" t="s">
        <v>102</v>
      </c>
      <c r="D72" s="13" t="n">
        <v>84</v>
      </c>
      <c r="E72" s="14" t="n">
        <v>24.69218826</v>
      </c>
      <c r="F72" s="17" t="n">
        <v>1</v>
      </c>
    </row>
    <row r="73" customFormat="false" ht="15" hidden="false" customHeight="false" outlineLevel="0" collapsed="false">
      <c r="A73" s="16" t="n">
        <v>46062</v>
      </c>
      <c r="B73" s="13" t="s">
        <v>73</v>
      </c>
      <c r="C73" s="13" t="s">
        <v>112</v>
      </c>
      <c r="D73" s="13" t="n">
        <v>164</v>
      </c>
      <c r="E73" s="14" t="n">
        <v>13.68105507</v>
      </c>
      <c r="F73" s="17" t="n">
        <v>1</v>
      </c>
    </row>
    <row r="74" customFormat="false" ht="15" hidden="false" customHeight="false" outlineLevel="0" collapsed="false">
      <c r="A74" s="16" t="n">
        <v>46074</v>
      </c>
      <c r="B74" s="13" t="s">
        <v>73</v>
      </c>
      <c r="C74" s="13" t="s">
        <v>112</v>
      </c>
      <c r="D74" s="13" t="n">
        <v>164</v>
      </c>
      <c r="E74" s="14" t="n">
        <v>14.50668621</v>
      </c>
      <c r="F74" s="17" t="n">
        <v>1</v>
      </c>
    </row>
    <row r="75" customFormat="false" ht="15" hidden="false" customHeight="false" outlineLevel="0" collapsed="false">
      <c r="A75" s="16" t="n">
        <v>46075</v>
      </c>
      <c r="B75" s="13" t="s">
        <v>73</v>
      </c>
      <c r="C75" s="13" t="s">
        <v>102</v>
      </c>
      <c r="D75" s="13" t="n">
        <v>84</v>
      </c>
      <c r="E75" s="14" t="n">
        <v>20.34921837</v>
      </c>
      <c r="F75" s="17" t="n">
        <v>1</v>
      </c>
    </row>
    <row r="76" customFormat="false" ht="15" hidden="false" customHeight="false" outlineLevel="0" collapsed="false">
      <c r="A76" s="16" t="n">
        <v>46086</v>
      </c>
      <c r="B76" s="13" t="s">
        <v>76</v>
      </c>
      <c r="C76" s="13" t="s">
        <v>112</v>
      </c>
      <c r="D76" s="13" t="n">
        <v>164</v>
      </c>
      <c r="E76" s="14" t="n">
        <v>14.74101543</v>
      </c>
      <c r="F76" s="17" t="n">
        <v>1</v>
      </c>
    </row>
    <row r="77" customFormat="false" ht="15" hidden="false" customHeight="false" outlineLevel="0" collapsed="false">
      <c r="A77" s="16" t="n">
        <v>46087</v>
      </c>
      <c r="B77" s="13" t="s">
        <v>76</v>
      </c>
      <c r="C77" s="13" t="s">
        <v>102</v>
      </c>
      <c r="D77" s="13" t="n">
        <v>84</v>
      </c>
      <c r="E77" s="14" t="n">
        <v>21.73632813</v>
      </c>
      <c r="F77" s="17" t="n">
        <v>1</v>
      </c>
    </row>
    <row r="78" customFormat="false" ht="15" hidden="false" customHeight="false" outlineLevel="0" collapsed="false">
      <c r="A78" s="16" t="n">
        <v>46098</v>
      </c>
      <c r="B78" s="13" t="s">
        <v>76</v>
      </c>
      <c r="C78" s="13" t="s">
        <v>112</v>
      </c>
      <c r="D78" s="13" t="n">
        <v>164</v>
      </c>
      <c r="E78" s="14" t="n">
        <v>14.20844746</v>
      </c>
      <c r="F78" s="17" t="n">
        <v>1</v>
      </c>
    </row>
    <row r="79" customFormat="false" ht="15" hidden="false" customHeight="false" outlineLevel="0" collapsed="false">
      <c r="A79" s="16" t="n">
        <v>46099</v>
      </c>
      <c r="B79" s="13" t="s">
        <v>76</v>
      </c>
      <c r="C79" s="13" t="s">
        <v>102</v>
      </c>
      <c r="D79" s="13" t="n">
        <v>84</v>
      </c>
      <c r="E79" s="14" t="n">
        <v>24.10820389</v>
      </c>
      <c r="F79" s="17" t="n">
        <v>1</v>
      </c>
    </row>
    <row r="80" customFormat="false" ht="15" hidden="false" customHeight="false" outlineLevel="0" collapsed="false">
      <c r="A80" s="16" t="n">
        <v>46110</v>
      </c>
      <c r="B80" s="13" t="s">
        <v>76</v>
      </c>
      <c r="C80" s="13" t="s">
        <v>112</v>
      </c>
      <c r="D80" s="13" t="n">
        <v>164</v>
      </c>
      <c r="E80" s="14" t="n">
        <v>13.04511738</v>
      </c>
      <c r="F80" s="17" t="n">
        <v>1</v>
      </c>
    </row>
    <row r="81" customFormat="false" ht="15" hidden="false" customHeight="false" outlineLevel="0" collapsed="false">
      <c r="A81" s="16" t="n">
        <v>46111</v>
      </c>
      <c r="B81" s="13" t="s">
        <v>76</v>
      </c>
      <c r="C81" s="13" t="s">
        <v>102</v>
      </c>
      <c r="D81" s="13" t="n">
        <v>84</v>
      </c>
      <c r="E81" s="14" t="n">
        <v>23.52382851</v>
      </c>
      <c r="F81" s="17" t="n">
        <v>1</v>
      </c>
    </row>
    <row r="82" customFormat="false" ht="15" hidden="false" customHeight="false" outlineLevel="0" collapsed="false">
      <c r="A82" s="16" t="n">
        <v>46134</v>
      </c>
      <c r="B82" s="13" t="s">
        <v>79</v>
      </c>
      <c r="C82" s="13" t="s">
        <v>112</v>
      </c>
      <c r="D82" s="13" t="n">
        <v>164</v>
      </c>
      <c r="E82" s="14" t="n">
        <v>14.20527363</v>
      </c>
      <c r="F82" s="17" t="n">
        <v>1</v>
      </c>
    </row>
    <row r="83" customFormat="false" ht="15" hidden="false" customHeight="false" outlineLevel="0" collapsed="false">
      <c r="A83" s="16" t="n">
        <v>46146</v>
      </c>
      <c r="B83" s="13" t="s">
        <v>82</v>
      </c>
      <c r="C83" s="13" t="s">
        <v>112</v>
      </c>
      <c r="D83" s="13" t="n">
        <v>164</v>
      </c>
      <c r="E83" s="14" t="n">
        <v>13.33906269</v>
      </c>
      <c r="F83" s="17" t="n">
        <v>1</v>
      </c>
    </row>
    <row r="84" customFormat="false" ht="15" hidden="false" customHeight="false" outlineLevel="0" collapsed="false">
      <c r="A84" s="16" t="n">
        <v>46147</v>
      </c>
      <c r="B84" s="13" t="s">
        <v>82</v>
      </c>
      <c r="C84" s="13" t="s">
        <v>102</v>
      </c>
      <c r="D84" s="13" t="n">
        <v>84</v>
      </c>
      <c r="E84" s="14" t="n">
        <v>23.203125</v>
      </c>
      <c r="F84" s="17" t="n">
        <v>1</v>
      </c>
    </row>
    <row r="85" customFormat="false" ht="15" hidden="false" customHeight="false" outlineLevel="0" collapsed="false">
      <c r="A85" s="16" t="n">
        <v>46158</v>
      </c>
      <c r="B85" s="13" t="s">
        <v>82</v>
      </c>
      <c r="C85" s="13" t="s">
        <v>112</v>
      </c>
      <c r="D85" s="13" t="n">
        <v>164</v>
      </c>
      <c r="E85" s="14" t="n">
        <v>12.68371582</v>
      </c>
      <c r="F85" s="17" t="n">
        <v>1</v>
      </c>
    </row>
    <row r="86" customFormat="false" ht="15" hidden="false" customHeight="false" outlineLevel="0" collapsed="false">
      <c r="A86" s="16" t="n">
        <v>46159</v>
      </c>
      <c r="B86" s="13" t="s">
        <v>82</v>
      </c>
      <c r="C86" s="13" t="s">
        <v>102</v>
      </c>
      <c r="D86" s="13" t="n">
        <v>84</v>
      </c>
      <c r="E86" s="14" t="n">
        <v>19.88046837</v>
      </c>
      <c r="F86" s="17" t="n">
        <v>1</v>
      </c>
    </row>
    <row r="87" customFormat="false" ht="15" hidden="false" customHeight="false" outlineLevel="0" collapsed="false">
      <c r="A87" s="16" t="n">
        <v>46159</v>
      </c>
      <c r="B87" s="13" t="s">
        <v>82</v>
      </c>
      <c r="C87" s="13" t="s">
        <v>113</v>
      </c>
      <c r="D87" s="13" t="n">
        <v>164</v>
      </c>
      <c r="E87" s="14" t="n">
        <v>11.85942364</v>
      </c>
      <c r="F87" s="17" t="n">
        <v>1</v>
      </c>
    </row>
    <row r="88" customFormat="false" ht="15" hidden="false" customHeight="false" outlineLevel="0" collapsed="false">
      <c r="A88" s="16" t="n">
        <v>46170</v>
      </c>
      <c r="B88" s="13" t="s">
        <v>82</v>
      </c>
      <c r="C88" s="13" t="s">
        <v>112</v>
      </c>
      <c r="D88" s="13" t="n">
        <v>164</v>
      </c>
      <c r="E88" s="14" t="n">
        <v>14.06835938</v>
      </c>
      <c r="F88" s="17" t="n">
        <v>1</v>
      </c>
    </row>
    <row r="89" customFormat="false" ht="15" hidden="false" customHeight="false" outlineLevel="0" collapsed="false">
      <c r="A89" s="16" t="n">
        <v>46171</v>
      </c>
      <c r="B89" s="13" t="s">
        <v>82</v>
      </c>
      <c r="C89" s="13" t="s">
        <v>102</v>
      </c>
      <c r="D89" s="13" t="n">
        <v>84</v>
      </c>
      <c r="E89" s="14" t="n">
        <v>22.73593712</v>
      </c>
      <c r="F89" s="17" t="n">
        <v>1</v>
      </c>
    </row>
    <row r="90" customFormat="false" ht="15" hidden="false" customHeight="false" outlineLevel="0" collapsed="false">
      <c r="A90" s="18" t="n">
        <v>46171</v>
      </c>
      <c r="B90" s="19" t="s">
        <v>82</v>
      </c>
      <c r="C90" s="19" t="s">
        <v>113</v>
      </c>
      <c r="D90" s="19" t="n">
        <v>164</v>
      </c>
      <c r="E90" s="20" t="n">
        <v>42.95468903</v>
      </c>
      <c r="F90" s="21" t="n">
        <v>0</v>
      </c>
      <c r="G90" s="22" t="s">
        <v>114</v>
      </c>
    </row>
    <row r="91" customFormat="false" ht="15" hidden="false" customHeight="false" outlineLevel="0" collapsed="false">
      <c r="A91" s="16" t="n">
        <v>46183</v>
      </c>
      <c r="B91" s="13" t="s">
        <v>84</v>
      </c>
      <c r="C91" s="13" t="s">
        <v>113</v>
      </c>
      <c r="D91" s="13" t="n">
        <v>164</v>
      </c>
      <c r="E91" s="14" t="n">
        <v>12.75195313</v>
      </c>
      <c r="F91" s="17" t="n">
        <v>1</v>
      </c>
    </row>
    <row r="92" customFormat="false" ht="15" hidden="false" customHeight="false" outlineLevel="0" collapsed="false">
      <c r="A92" s="16" t="n">
        <v>46183</v>
      </c>
      <c r="B92" s="13" t="s">
        <v>84</v>
      </c>
      <c r="C92" s="13" t="s">
        <v>102</v>
      </c>
      <c r="D92" s="13" t="n">
        <v>84</v>
      </c>
      <c r="E92" s="14" t="n">
        <v>20.58320236</v>
      </c>
      <c r="F92" s="17" t="n">
        <v>1</v>
      </c>
    </row>
    <row r="93" customFormat="false" ht="15" hidden="false" customHeight="false" outlineLevel="0" collapsed="false">
      <c r="A93" s="16" t="n">
        <v>46195</v>
      </c>
      <c r="B93" s="13" t="s">
        <v>84</v>
      </c>
      <c r="C93" s="13" t="s">
        <v>113</v>
      </c>
      <c r="D93" s="13" t="n">
        <v>164</v>
      </c>
      <c r="E93" s="14" t="n">
        <v>12.25292969</v>
      </c>
      <c r="F93" s="17" t="n">
        <v>1</v>
      </c>
    </row>
    <row r="94" customFormat="false" ht="15" hidden="false" customHeight="false" outlineLevel="0" collapsed="false">
      <c r="A94" s="16" t="n">
        <v>46195</v>
      </c>
      <c r="B94" s="13" t="s">
        <v>84</v>
      </c>
      <c r="C94" s="13" t="s">
        <v>102</v>
      </c>
      <c r="D94" s="13" t="n">
        <v>84</v>
      </c>
      <c r="E94" s="14" t="n">
        <v>22.39492226</v>
      </c>
      <c r="F94" s="17" t="n">
        <v>1</v>
      </c>
    </row>
    <row r="95" customFormat="false" ht="15" hidden="false" customHeight="false" outlineLevel="0" collapsed="false">
      <c r="A95" s="16" t="n">
        <v>46201</v>
      </c>
      <c r="B95" s="13" t="s">
        <v>84</v>
      </c>
      <c r="C95" s="13" t="s">
        <v>112</v>
      </c>
      <c r="D95" s="13" t="n">
        <v>164</v>
      </c>
      <c r="E95" s="14" t="n">
        <v>13.93388653</v>
      </c>
      <c r="F95" s="17" t="n">
        <v>1</v>
      </c>
    </row>
    <row r="96" customFormat="false" ht="15" hidden="false" customHeight="false" outlineLevel="0" collapsed="false">
      <c r="A96" s="16" t="n">
        <v>46202</v>
      </c>
      <c r="B96" s="13" t="s">
        <v>84</v>
      </c>
      <c r="C96" s="13" t="s">
        <v>113</v>
      </c>
      <c r="D96" s="13" t="n">
        <v>84</v>
      </c>
      <c r="E96" s="14" t="n">
        <v>23.32734299</v>
      </c>
      <c r="F96" s="17" t="n">
        <v>1</v>
      </c>
    </row>
    <row r="97" customFormat="false" ht="15" hidden="false" customHeight="false" outlineLevel="0" collapsed="false">
      <c r="A97" s="16" t="n">
        <v>46213</v>
      </c>
      <c r="B97" s="13" t="s">
        <v>86</v>
      </c>
      <c r="C97" s="13" t="s">
        <v>112</v>
      </c>
      <c r="D97" s="13" t="n">
        <v>164</v>
      </c>
      <c r="E97" s="14" t="n">
        <v>13.37011719</v>
      </c>
      <c r="F97" s="17" t="n">
        <v>1</v>
      </c>
    </row>
    <row r="98" customFormat="false" ht="15" hidden="false" customHeight="false" outlineLevel="0" collapsed="false">
      <c r="A98" s="16" t="n">
        <v>46214</v>
      </c>
      <c r="B98" s="13" t="s">
        <v>86</v>
      </c>
      <c r="C98" s="13" t="s">
        <v>113</v>
      </c>
      <c r="D98" s="13" t="n">
        <v>84</v>
      </c>
      <c r="E98" s="14" t="n">
        <v>19.52011681</v>
      </c>
      <c r="F98" s="17" t="n">
        <v>1</v>
      </c>
    </row>
    <row r="99" customFormat="false" ht="15" hidden="false" customHeight="false" outlineLevel="0" collapsed="false">
      <c r="A99" s="16" t="n">
        <v>46225</v>
      </c>
      <c r="B99" s="13" t="s">
        <v>86</v>
      </c>
      <c r="C99" s="13" t="s">
        <v>112</v>
      </c>
      <c r="D99" s="13" t="n">
        <v>164</v>
      </c>
      <c r="E99" s="14" t="n">
        <v>12.06796837</v>
      </c>
      <c r="F99" s="17" t="n">
        <v>1</v>
      </c>
    </row>
    <row r="100" customFormat="false" ht="15" hidden="false" customHeight="false" outlineLevel="0" collapsed="false">
      <c r="A100" s="16" t="n">
        <v>46226</v>
      </c>
      <c r="B100" s="13" t="s">
        <v>86</v>
      </c>
      <c r="C100" s="13" t="s">
        <v>113</v>
      </c>
      <c r="D100" s="13" t="n">
        <v>84</v>
      </c>
      <c r="E100" s="14" t="n">
        <v>21.65156174</v>
      </c>
      <c r="F100" s="17" t="n">
        <v>1</v>
      </c>
    </row>
    <row r="101" customFormat="false" ht="15" hidden="false" customHeight="false" outlineLevel="0" collapsed="false">
      <c r="A101" s="16" t="n">
        <v>46237</v>
      </c>
      <c r="B101" s="13" t="s">
        <v>89</v>
      </c>
      <c r="C101" s="13" t="s">
        <v>112</v>
      </c>
      <c r="D101" s="13" t="n">
        <v>164</v>
      </c>
      <c r="E101" s="14" t="n">
        <v>13.4473629</v>
      </c>
      <c r="F101" s="17" t="n">
        <v>1</v>
      </c>
    </row>
    <row r="102" customFormat="false" ht="15" hidden="false" customHeight="false" outlineLevel="0" collapsed="false">
      <c r="A102" s="16" t="n">
        <v>46238</v>
      </c>
      <c r="B102" s="13" t="s">
        <v>89</v>
      </c>
      <c r="C102" s="13" t="s">
        <v>113</v>
      </c>
      <c r="D102" s="13" t="n">
        <v>84</v>
      </c>
      <c r="E102" s="14" t="n">
        <v>21.29453087</v>
      </c>
      <c r="F102" s="17" t="n">
        <v>1</v>
      </c>
    </row>
    <row r="103" customFormat="false" ht="15" hidden="false" customHeight="false" outlineLevel="0" collapsed="false">
      <c r="A103" s="16" t="n">
        <v>46249</v>
      </c>
      <c r="B103" s="13" t="s">
        <v>89</v>
      </c>
      <c r="C103" s="13" t="s">
        <v>112</v>
      </c>
      <c r="D103" s="13" t="n">
        <v>164</v>
      </c>
      <c r="E103" s="14" t="n">
        <v>13.78378868</v>
      </c>
      <c r="F103" s="17" t="n">
        <v>1</v>
      </c>
    </row>
    <row r="104" customFormat="false" ht="15" hidden="false" customHeight="false" outlineLevel="0" collapsed="false">
      <c r="A104" s="16" t="n">
        <v>46250</v>
      </c>
      <c r="B104" s="13" t="s">
        <v>89</v>
      </c>
      <c r="C104" s="13" t="s">
        <v>113</v>
      </c>
      <c r="D104" s="13" t="n">
        <v>84</v>
      </c>
      <c r="E104" s="14" t="n">
        <v>18.76288986</v>
      </c>
      <c r="F104" s="17" t="n">
        <v>1</v>
      </c>
    </row>
    <row r="105" customFormat="false" ht="15" hidden="false" customHeight="false" outlineLevel="0" collapsed="false">
      <c r="A105" s="16" t="n">
        <v>46261</v>
      </c>
      <c r="B105" s="13" t="s">
        <v>89</v>
      </c>
      <c r="C105" s="13" t="s">
        <v>112</v>
      </c>
      <c r="D105" s="13" t="n">
        <v>164</v>
      </c>
      <c r="E105" s="14" t="n">
        <v>13.79826641</v>
      </c>
      <c r="F105" s="17" t="n">
        <v>1</v>
      </c>
    </row>
    <row r="106" customFormat="false" ht="15" hidden="false" customHeight="false" outlineLevel="0" collapsed="false">
      <c r="A106" s="16" t="n">
        <v>46262</v>
      </c>
      <c r="B106" s="13" t="s">
        <v>89</v>
      </c>
      <c r="C106" s="13" t="s">
        <v>113</v>
      </c>
      <c r="D106" s="13" t="n">
        <v>84</v>
      </c>
      <c r="E106" s="14" t="n">
        <v>20.71289063</v>
      </c>
      <c r="F106" s="17" t="n">
        <v>1</v>
      </c>
    </row>
    <row r="107" customFormat="false" ht="15" hidden="false" customHeight="false" outlineLevel="0" collapsed="false">
      <c r="A107" s="16" t="n">
        <v>46273</v>
      </c>
      <c r="B107" s="13" t="s">
        <v>92</v>
      </c>
      <c r="C107" s="13" t="s">
        <v>112</v>
      </c>
      <c r="D107" s="13" t="n">
        <v>164</v>
      </c>
      <c r="E107" s="14" t="n">
        <v>14.96024132</v>
      </c>
      <c r="F107" s="17" t="n">
        <v>1</v>
      </c>
    </row>
    <row r="108" customFormat="false" ht="15" hidden="false" customHeight="false" outlineLevel="0" collapsed="false">
      <c r="A108" s="16" t="n">
        <v>46274</v>
      </c>
      <c r="B108" s="13" t="s">
        <v>92</v>
      </c>
      <c r="C108" s="13" t="s">
        <v>113</v>
      </c>
      <c r="D108" s="13" t="n">
        <v>84</v>
      </c>
      <c r="E108" s="14" t="n">
        <v>21.55976486</v>
      </c>
      <c r="F108" s="17" t="n">
        <v>1</v>
      </c>
    </row>
    <row r="109" customFormat="false" ht="15" hidden="false" customHeight="false" outlineLevel="0" collapsed="false">
      <c r="A109" s="16" t="n">
        <v>46285</v>
      </c>
      <c r="B109" s="13" t="s">
        <v>92</v>
      </c>
      <c r="C109" s="13" t="s">
        <v>112</v>
      </c>
      <c r="D109" s="13" t="n">
        <v>164</v>
      </c>
      <c r="E109" s="14" t="n">
        <v>11.95996094</v>
      </c>
      <c r="F109" s="17" t="n">
        <v>1</v>
      </c>
    </row>
    <row r="110" customFormat="false" ht="15" hidden="false" customHeight="false" outlineLevel="0" collapsed="false">
      <c r="A110" s="16" t="n">
        <v>46286</v>
      </c>
      <c r="B110" s="13" t="s">
        <v>92</v>
      </c>
      <c r="C110" s="13" t="s">
        <v>113</v>
      </c>
      <c r="D110" s="13" t="n">
        <v>84</v>
      </c>
      <c r="E110" s="14" t="n">
        <v>19.76386642</v>
      </c>
      <c r="F110" s="17" t="n">
        <v>1</v>
      </c>
    </row>
    <row r="112" customFormat="false" ht="15" hidden="false" customHeight="false" outlineLevel="0" collapsed="false">
      <c r="A112" s="2" t="s">
        <v>115</v>
      </c>
    </row>
    <row r="113" customFormat="false" ht="15" hidden="false" customHeight="false" outlineLevel="0" collapsed="false">
      <c r="A113" s="2" t="s">
        <v>116</v>
      </c>
    </row>
  </sheetData>
  <autoFilter ref="A1:G1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8" min="7" style="0" width="12"/>
  </cols>
  <sheetData>
    <row r="1" customFormat="false" ht="15" hidden="false" customHeight="false" outlineLevel="0" collapsed="false">
      <c r="A1" s="23" t="s">
        <v>117</v>
      </c>
    </row>
    <row r="2" customFormat="false" ht="15" hidden="false" customHeight="false" outlineLevel="0" collapsed="false">
      <c r="A2" s="2" t="s">
        <v>118</v>
      </c>
    </row>
    <row r="4" customFormat="false" ht="45" hidden="false" customHeight="true" outlineLevel="0" collapsed="false">
      <c r="A4" s="3" t="s">
        <v>32</v>
      </c>
      <c r="B4" s="3" t="s">
        <v>119</v>
      </c>
      <c r="C4" s="3" t="s">
        <v>33</v>
      </c>
      <c r="D4" s="3" t="s">
        <v>120</v>
      </c>
      <c r="E4" s="3" t="s">
        <v>121</v>
      </c>
      <c r="F4" s="3" t="s">
        <v>122</v>
      </c>
      <c r="G4" s="3" t="s">
        <v>123</v>
      </c>
      <c r="H4" s="3" t="s">
        <v>124</v>
      </c>
    </row>
    <row r="5" customFormat="false" ht="15" hidden="false" customHeight="false" outlineLevel="0" collapsed="false">
      <c r="A5" s="13" t="s">
        <v>48</v>
      </c>
      <c r="B5" s="13" t="n">
        <v>1</v>
      </c>
      <c r="C5" s="24" t="n">
        <f aca="false">INDEX(Exports!$B$2:$B$22,MATCH(A5,Exports!$A$2:$A$22,0))</f>
        <v>7.43</v>
      </c>
      <c r="D5" s="25" t="n">
        <f aca="false">INTERCEPT($C$5:$C$12,$B$5:$B$12)+SLOPE($C$5:$C$12,$B$5:$B$12)*B5</f>
        <v>6.52083333333333</v>
      </c>
      <c r="E5" s="25" t="n">
        <f aca="false">C5-D5</f>
        <v>0.909166666666668</v>
      </c>
      <c r="F5" s="24" t="n">
        <f aca="false">AVERAGEIFS(Scenes!$E$2:$E$110,Scenes!$B$2:$B$110,$A5,Scenes!$D$2:$D$110,164)</f>
        <v>13.82604154</v>
      </c>
      <c r="G5" s="25" t="n">
        <f aca="false">INTERCEPT($F$5:$F$12,$B$5:$B$12)+SLOPE($F$5:$F$12,$B$5:$B$12)*B5</f>
        <v>13.8238387920833</v>
      </c>
      <c r="H5" s="25" t="n">
        <f aca="false">F5-G5</f>
        <v>0.00220274791666775</v>
      </c>
    </row>
    <row r="6" customFormat="false" ht="15" hidden="false" customHeight="false" outlineLevel="0" collapsed="false">
      <c r="A6" s="13" t="s">
        <v>54</v>
      </c>
      <c r="B6" s="13" t="n">
        <v>2</v>
      </c>
      <c r="C6" s="24" t="n">
        <f aca="false">INDEX(Exports!$B$2:$B$22,MATCH(A6,Exports!$A$2:$A$22,0))</f>
        <v>6.17</v>
      </c>
      <c r="D6" s="25" t="n">
        <f aca="false">INTERCEPT($C$5:$C$12,$B$5:$B$12)+SLOPE($C$5:$C$12,$B$5:$B$12)*B6</f>
        <v>7.0027380952381</v>
      </c>
      <c r="E6" s="25" t="n">
        <f aca="false">C6-D6</f>
        <v>-0.832738095238095</v>
      </c>
      <c r="F6" s="24" t="n">
        <f aca="false">AVERAGEIFS(Scenes!$E$2:$E$110,Scenes!$B$2:$B$110,$A6,Scenes!$D$2:$D$110,164)</f>
        <v>14.4286454533333</v>
      </c>
      <c r="G6" s="25" t="n">
        <f aca="false">INTERCEPT($F$5:$F$12,$B$5:$B$12)+SLOPE($F$5:$F$12,$B$5:$B$12)*B6</f>
        <v>14.0017451744048</v>
      </c>
      <c r="H6" s="25" t="n">
        <f aca="false">F6-G6</f>
        <v>0.426900278928571</v>
      </c>
    </row>
    <row r="7" customFormat="false" ht="15" hidden="false" customHeight="false" outlineLevel="0" collapsed="false">
      <c r="A7" s="13" t="s">
        <v>57</v>
      </c>
      <c r="B7" s="13" t="n">
        <v>3</v>
      </c>
      <c r="C7" s="24" t="n">
        <f aca="false">INDEX(Exports!$B$2:$B$22,MATCH(A7,Exports!$A$2:$A$22,0))</f>
        <v>6.76</v>
      </c>
      <c r="D7" s="25" t="n">
        <f aca="false">INTERCEPT($C$5:$C$12,$B$5:$B$12)+SLOPE($C$5:$C$12,$B$5:$B$12)*B7</f>
        <v>7.48464285714286</v>
      </c>
      <c r="E7" s="25" t="n">
        <f aca="false">C7-D7</f>
        <v>-0.724642857142857</v>
      </c>
      <c r="F7" s="24" t="n">
        <f aca="false">AVERAGEIFS(Scenes!$E$2:$E$110,Scenes!$B$2:$B$110,$A7,Scenes!$D$2:$D$110,164)</f>
        <v>13.493164065</v>
      </c>
      <c r="G7" s="25" t="n">
        <f aca="false">INTERCEPT($F$5:$F$12,$B$5:$B$12)+SLOPE($F$5:$F$12,$B$5:$B$12)*B7</f>
        <v>14.1796515567262</v>
      </c>
      <c r="H7" s="25" t="n">
        <f aca="false">F7-G7</f>
        <v>-0.68648749172619</v>
      </c>
    </row>
    <row r="8" customFormat="false" ht="15" hidden="false" customHeight="false" outlineLevel="0" collapsed="false">
      <c r="A8" s="13" t="s">
        <v>60</v>
      </c>
      <c r="B8" s="13" t="n">
        <v>4</v>
      </c>
      <c r="C8" s="24" t="n">
        <f aca="false">INDEX(Exports!$B$2:$B$22,MATCH(A8,Exports!$A$2:$A$22,0))</f>
        <v>8.52</v>
      </c>
      <c r="D8" s="25" t="n">
        <f aca="false">INTERCEPT($C$5:$C$12,$B$5:$B$12)+SLOPE($C$5:$C$12,$B$5:$B$12)*B8</f>
        <v>7.96654761904762</v>
      </c>
      <c r="E8" s="25" t="n">
        <f aca="false">C8-D8</f>
        <v>0.553452380952382</v>
      </c>
      <c r="F8" s="24" t="n">
        <f aca="false">AVERAGEIFS(Scenes!$E$2:$E$110,Scenes!$B$2:$B$110,$A8,Scenes!$D$2:$D$110,164)</f>
        <v>15.0037517566667</v>
      </c>
      <c r="G8" s="25" t="n">
        <f aca="false">INTERCEPT($F$5:$F$12,$B$5:$B$12)+SLOPE($F$5:$F$12,$B$5:$B$12)*B8</f>
        <v>14.3575579390476</v>
      </c>
      <c r="H8" s="25" t="n">
        <f aca="false">F8-G8</f>
        <v>0.646193817619047</v>
      </c>
    </row>
    <row r="9" customFormat="false" ht="15" hidden="false" customHeight="false" outlineLevel="0" collapsed="false">
      <c r="A9" s="13" t="s">
        <v>63</v>
      </c>
      <c r="B9" s="13" t="n">
        <v>5</v>
      </c>
      <c r="C9" s="24" t="n">
        <f aca="false">INDEX(Exports!$B$2:$B$22,MATCH(A9,Exports!$A$2:$A$22,0))</f>
        <v>9.69</v>
      </c>
      <c r="D9" s="25" t="n">
        <f aca="false">INTERCEPT($C$5:$C$12,$B$5:$B$12)+SLOPE($C$5:$C$12,$B$5:$B$12)*B9</f>
        <v>8.44845238095238</v>
      </c>
      <c r="E9" s="25" t="n">
        <f aca="false">C9-D9</f>
        <v>1.24154761904762</v>
      </c>
      <c r="F9" s="24" t="n">
        <f aca="false">AVERAGEIFS(Scenes!$E$2:$E$110,Scenes!$B$2:$B$110,$A9,Scenes!$D$2:$D$110,164)</f>
        <v>14.68168958</v>
      </c>
      <c r="G9" s="25" t="n">
        <f aca="false">INTERCEPT($F$5:$F$12,$B$5:$B$12)+SLOPE($F$5:$F$12,$B$5:$B$12)*B9</f>
        <v>14.535464321369</v>
      </c>
      <c r="H9" s="25" t="n">
        <f aca="false">F9-G9</f>
        <v>0.146225258630954</v>
      </c>
    </row>
    <row r="10" customFormat="false" ht="15" hidden="false" customHeight="false" outlineLevel="0" collapsed="false">
      <c r="A10" s="13" t="s">
        <v>65</v>
      </c>
      <c r="B10" s="13" t="n">
        <v>6</v>
      </c>
      <c r="C10" s="24" t="n">
        <f aca="false">INDEX(Exports!$B$2:$B$22,MATCH(A10,Exports!$A$2:$A$22,0))</f>
        <v>7.12</v>
      </c>
      <c r="D10" s="25" t="n">
        <f aca="false">INTERCEPT($C$5:$C$12,$B$5:$B$12)+SLOPE($C$5:$C$12,$B$5:$B$12)*B10</f>
        <v>8.93035714285714</v>
      </c>
      <c r="E10" s="25" t="n">
        <f aca="false">C10-D10</f>
        <v>-1.81035714285714</v>
      </c>
      <c r="F10" s="24" t="n">
        <f aca="false">AVERAGEIFS(Scenes!$E$2:$E$110,Scenes!$B$2:$B$110,$A10,Scenes!$D$2:$D$110,164)</f>
        <v>13.739121915</v>
      </c>
      <c r="G10" s="25" t="n">
        <f aca="false">INTERCEPT($F$5:$F$12,$B$5:$B$12)+SLOPE($F$5:$F$12,$B$5:$B$12)*B10</f>
        <v>14.7133707036905</v>
      </c>
      <c r="H10" s="25" t="n">
        <f aca="false">F10-G10</f>
        <v>-0.974248788690476</v>
      </c>
    </row>
    <row r="11" customFormat="false" ht="15" hidden="false" customHeight="false" outlineLevel="0" collapsed="false">
      <c r="A11" s="13" t="s">
        <v>67</v>
      </c>
      <c r="B11" s="13" t="n">
        <v>7</v>
      </c>
      <c r="C11" s="24" t="n">
        <f aca="false">INDEX(Exports!$B$2:$B$22,MATCH(A11,Exports!$A$2:$A$22,0))</f>
        <v>9.35</v>
      </c>
      <c r="D11" s="25" t="n">
        <f aca="false">INTERCEPT($C$5:$C$12,$B$5:$B$12)+SLOPE($C$5:$C$12,$B$5:$B$12)*B11</f>
        <v>9.4122619047619</v>
      </c>
      <c r="E11" s="25" t="n">
        <f aca="false">C11-D11</f>
        <v>-0.062261904761904</v>
      </c>
      <c r="F11" s="24" t="n">
        <f aca="false">AVERAGEIFS(Scenes!$E$2:$E$110,Scenes!$B$2:$B$110,$A11,Scenes!$D$2:$D$110,164)</f>
        <v>14.6719401666667</v>
      </c>
      <c r="G11" s="25" t="n">
        <f aca="false">INTERCEPT($F$5:$F$12,$B$5:$B$12)+SLOPE($F$5:$F$12,$B$5:$B$12)*B11</f>
        <v>14.8912770860119</v>
      </c>
      <c r="H11" s="25" t="n">
        <f aca="false">F11-G11</f>
        <v>-0.219336919345238</v>
      </c>
    </row>
    <row r="12" customFormat="false" ht="15" hidden="false" customHeight="false" outlineLevel="0" collapsed="false">
      <c r="A12" s="13" t="s">
        <v>70</v>
      </c>
      <c r="B12" s="13" t="n">
        <v>8</v>
      </c>
      <c r="C12" s="24" t="n">
        <f aca="false">INDEX(Exports!$B$2:$B$22,MATCH(A12,Exports!$A$2:$A$22,0))</f>
        <v>10.62</v>
      </c>
      <c r="D12" s="25" t="n">
        <f aca="false">INTERCEPT($C$5:$C$12,$B$5:$B$12)+SLOPE($C$5:$C$12,$B$5:$B$12)*B12</f>
        <v>9.89416666666667</v>
      </c>
      <c r="E12" s="25" t="n">
        <f aca="false">C12-D12</f>
        <v>0.725833333333334</v>
      </c>
      <c r="F12" s="24" t="n">
        <f aca="false">AVERAGEIFS(Scenes!$E$2:$E$110,Scenes!$B$2:$B$110,$A12,Scenes!$D$2:$D$110,164)</f>
        <v>15.727734565</v>
      </c>
      <c r="G12" s="25" t="n">
        <f aca="false">INTERCEPT($F$5:$F$12,$B$5:$B$12)+SLOPE($F$5:$F$12,$B$5:$B$12)*B12</f>
        <v>15.0691834683333</v>
      </c>
      <c r="H12" s="25" t="n">
        <f aca="false">F12-G12</f>
        <v>0.658551096666667</v>
      </c>
    </row>
    <row r="14" customFormat="false" ht="15" hidden="false" customHeight="false" outlineLevel="0" collapsed="false">
      <c r="A14" s="10" t="s">
        <v>125</v>
      </c>
    </row>
    <row r="15" customFormat="false" ht="35.05" hidden="false" customHeight="false" outlineLevel="0" collapsed="false">
      <c r="A15" s="3" t="s">
        <v>126</v>
      </c>
      <c r="B15" s="3"/>
      <c r="C15" s="3" t="s">
        <v>3</v>
      </c>
      <c r="D15" s="3" t="s">
        <v>127</v>
      </c>
      <c r="E15" s="3" t="s">
        <v>128</v>
      </c>
    </row>
    <row r="16" customFormat="false" ht="15" hidden="false" customHeight="false" outlineLevel="0" collapsed="false">
      <c r="A16" s="13" t="s">
        <v>122</v>
      </c>
      <c r="C16" s="13" t="n">
        <f aca="false">COUNT(F5:F12)</f>
        <v>8</v>
      </c>
      <c r="D16" s="26" t="n">
        <f aca="false">CORREL(F5:F12,C5:C12)</f>
        <v>0.797431596106128</v>
      </c>
      <c r="E16" s="26" t="n">
        <f aca="false">CORREL(H5:H12,E5:E12)</f>
        <v>0.66659704296331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4" min="13" style="0" width="12"/>
  </cols>
  <sheetData>
    <row r="1" customFormat="false" ht="15" hidden="false" customHeight="false" outlineLevel="0" collapsed="false">
      <c r="A1" s="23" t="s">
        <v>129</v>
      </c>
    </row>
    <row r="2" customFormat="false" ht="15" hidden="false" customHeight="false" outlineLevel="0" collapsed="false">
      <c r="A2" s="2" t="s">
        <v>118</v>
      </c>
    </row>
    <row r="4" customFormat="false" ht="45" hidden="false" customHeight="true" outlineLevel="0" collapsed="false">
      <c r="A4" s="3" t="s">
        <v>32</v>
      </c>
      <c r="B4" s="3" t="s">
        <v>119</v>
      </c>
      <c r="C4" s="3" t="s">
        <v>33</v>
      </c>
      <c r="D4" s="3" t="s">
        <v>120</v>
      </c>
      <c r="E4" s="3" t="s">
        <v>121</v>
      </c>
      <c r="F4" s="3" t="s">
        <v>130</v>
      </c>
      <c r="G4" s="3" t="s">
        <v>131</v>
      </c>
      <c r="H4" s="3" t="s">
        <v>132</v>
      </c>
      <c r="I4" s="3" t="s">
        <v>133</v>
      </c>
      <c r="J4" s="3" t="s">
        <v>134</v>
      </c>
      <c r="K4" s="3" t="s">
        <v>135</v>
      </c>
      <c r="L4" s="3" t="s">
        <v>136</v>
      </c>
      <c r="M4" s="3" t="s">
        <v>137</v>
      </c>
      <c r="N4" s="3" t="s">
        <v>138</v>
      </c>
    </row>
    <row r="5" customFormat="false" ht="15" hidden="false" customHeight="false" outlineLevel="0" collapsed="false">
      <c r="A5" s="13" t="s">
        <v>72</v>
      </c>
      <c r="B5" s="13" t="n">
        <v>1</v>
      </c>
      <c r="C5" s="24" t="n">
        <f aca="false">INDEX(Exports!$B$2:$B$22,MATCH(A5,Exports!$A$2:$A$22,0))</f>
        <v>10.12</v>
      </c>
      <c r="D5" s="25" t="n">
        <f aca="false">INTERCEPT($C$5:$C$13,$B$5:$B$13)+SLOPE($C$5:$C$13,$B$5:$B$13)*B5</f>
        <v>9.75377777777778</v>
      </c>
      <c r="E5" s="25" t="n">
        <f aca="false">C5-D5</f>
        <v>0.366222222222223</v>
      </c>
      <c r="F5" s="24" t="n">
        <f aca="false">AVERAGEIFS(Scenes!$E$2:$E$110,Scenes!$B$2:$B$110,$A5,Scenes!$D$2:$D$110,164)</f>
        <v>15.13789018</v>
      </c>
      <c r="G5" s="25" t="n">
        <f aca="false">INTERCEPT($F$5:$F$13,$B$5:$B$13)+SLOPE($F$5:$F$13,$B$5:$B$13)*B5</f>
        <v>15.1444317222222</v>
      </c>
      <c r="H5" s="25" t="n">
        <f aca="false">F5-G5</f>
        <v>-0.00654154222222303</v>
      </c>
      <c r="I5" s="24" t="n">
        <f aca="false">AVERAGEIFS(Scenes!$E$2:$E$110,Scenes!$B$2:$B$110,$A5,Scenes!$D$2:$D$110,164,Scenes!$C$2:$C$110,"Sentinel-1C")</f>
        <v>15.13789018</v>
      </c>
      <c r="J5" s="25" t="n">
        <f aca="false">INTERCEPT($I$5:$I$13,$B$5:$B$13)+SLOPE($I$5:$I$13,$B$5:$B$13)*B5</f>
        <v>14.5626963018519</v>
      </c>
      <c r="K5" s="25" t="n">
        <f aca="false">I5-J5</f>
        <v>0.575193878148149</v>
      </c>
      <c r="L5" s="24" t="n">
        <f aca="false">AVERAGEIFS(Scenes!$E$2:$E$110,Scenes!$B$2:$B$110,$A5,Scenes!$D$2:$D$110,164,Scenes!$F$2:$F$110,1)</f>
        <v>15.13789018</v>
      </c>
      <c r="M5" s="25" t="n">
        <f aca="false">INTERCEPT($L$5:$L$13,$B$5:$B$13)+SLOPE($L$5:$L$13,$B$5:$B$13)*B5</f>
        <v>14.4784973078333</v>
      </c>
      <c r="N5" s="25" t="n">
        <f aca="false">L5-M5</f>
        <v>0.659392872166666</v>
      </c>
    </row>
    <row r="6" customFormat="false" ht="15" hidden="false" customHeight="false" outlineLevel="0" collapsed="false">
      <c r="A6" s="13" t="s">
        <v>73</v>
      </c>
      <c r="B6" s="13" t="n">
        <v>2</v>
      </c>
      <c r="C6" s="24" t="n">
        <f aca="false">INDEX(Exports!$B$2:$B$22,MATCH(A6,Exports!$A$2:$A$22,0))</f>
        <v>6.35</v>
      </c>
      <c r="D6" s="25" t="n">
        <f aca="false">INTERCEPT($C$5:$C$13,$B$5:$B$13)+SLOPE($C$5:$C$13,$B$5:$B$13)*B6</f>
        <v>9.70977777777778</v>
      </c>
      <c r="E6" s="25" t="n">
        <f aca="false">C6-D6</f>
        <v>-3.35977777777778</v>
      </c>
      <c r="F6" s="24" t="n">
        <f aca="false">AVERAGEIFS(Scenes!$E$2:$E$110,Scenes!$B$2:$B$110,$A6,Scenes!$D$2:$D$110,164)</f>
        <v>14.09387064</v>
      </c>
      <c r="G6" s="25" t="n">
        <f aca="false">INTERCEPT($F$5:$F$13,$B$5:$B$13)+SLOPE($F$5:$F$13,$B$5:$B$13)*B6</f>
        <v>14.9486428011667</v>
      </c>
      <c r="H6" s="25" t="n">
        <f aca="false">F6-G6</f>
        <v>-0.854772161166668</v>
      </c>
      <c r="I6" s="24" t="n">
        <f aca="false">AVERAGEIFS(Scenes!$E$2:$E$110,Scenes!$B$2:$B$110,$A6,Scenes!$D$2:$D$110,164,Scenes!$C$2:$C$110,"Sentinel-1C")</f>
        <v>14.09387064</v>
      </c>
      <c r="J6" s="25" t="n">
        <f aca="false">INTERCEPT($I$5:$I$13,$B$5:$B$13)+SLOPE($I$5:$I$13,$B$5:$B$13)*B6</f>
        <v>14.3828123265741</v>
      </c>
      <c r="K6" s="25" t="n">
        <f aca="false">I6-J6</f>
        <v>-0.288941686574074</v>
      </c>
      <c r="L6" s="24" t="n">
        <f aca="false">AVERAGEIFS(Scenes!$E$2:$E$110,Scenes!$B$2:$B$110,$A6,Scenes!$D$2:$D$110,164,Scenes!$F$2:$F$110,1)</f>
        <v>14.09387064</v>
      </c>
      <c r="M6" s="25" t="n">
        <f aca="false">INTERCEPT($L$5:$L$13,$B$5:$B$13)+SLOPE($L$5:$L$13,$B$5:$B$13)*B6</f>
        <v>14.2827083867778</v>
      </c>
      <c r="N6" s="25" t="n">
        <f aca="false">L6-M6</f>
        <v>-0.188837746777779</v>
      </c>
    </row>
    <row r="7" customFormat="false" ht="15" hidden="false" customHeight="false" outlineLevel="0" collapsed="false">
      <c r="A7" s="13" t="s">
        <v>76</v>
      </c>
      <c r="B7" s="13" t="n">
        <v>3</v>
      </c>
      <c r="C7" s="24" t="n">
        <f aca="false">INDEX(Exports!$B$2:$B$22,MATCH(A7,Exports!$A$2:$A$22,0))</f>
        <v>11.06</v>
      </c>
      <c r="D7" s="25" t="n">
        <f aca="false">INTERCEPT($C$5:$C$13,$B$5:$B$13)+SLOPE($C$5:$C$13,$B$5:$B$13)*B7</f>
        <v>9.66577777777778</v>
      </c>
      <c r="E7" s="25" t="n">
        <f aca="false">C7-D7</f>
        <v>1.39422222222222</v>
      </c>
      <c r="F7" s="24" t="n">
        <f aca="false">AVERAGEIFS(Scenes!$E$2:$E$110,Scenes!$B$2:$B$110,$A7,Scenes!$D$2:$D$110,164)</f>
        <v>13.9981934233333</v>
      </c>
      <c r="G7" s="25" t="n">
        <f aca="false">INTERCEPT($F$5:$F$13,$B$5:$B$13)+SLOPE($F$5:$F$13,$B$5:$B$13)*B7</f>
        <v>14.7528538801111</v>
      </c>
      <c r="H7" s="25" t="n">
        <f aca="false">F7-G7</f>
        <v>-0.754660456777778</v>
      </c>
      <c r="I7" s="24" t="n">
        <f aca="false">AVERAGEIFS(Scenes!$E$2:$E$110,Scenes!$B$2:$B$110,$A7,Scenes!$D$2:$D$110,164,Scenes!$C$2:$C$110,"Sentinel-1C")</f>
        <v>13.9981934233333</v>
      </c>
      <c r="J7" s="25" t="n">
        <f aca="false">INTERCEPT($I$5:$I$13,$B$5:$B$13)+SLOPE($I$5:$I$13,$B$5:$B$13)*B7</f>
        <v>14.2029283512963</v>
      </c>
      <c r="K7" s="25" t="n">
        <f aca="false">I7-J7</f>
        <v>-0.204734927962962</v>
      </c>
      <c r="L7" s="24" t="n">
        <f aca="false">AVERAGEIFS(Scenes!$E$2:$E$110,Scenes!$B$2:$B$110,$A7,Scenes!$D$2:$D$110,164,Scenes!$F$2:$F$110,1)</f>
        <v>13.9981934233333</v>
      </c>
      <c r="M7" s="25" t="n">
        <f aca="false">INTERCEPT($L$5:$L$13,$B$5:$B$13)+SLOPE($L$5:$L$13,$B$5:$B$13)*B7</f>
        <v>14.0869194657222</v>
      </c>
      <c r="N7" s="25" t="n">
        <f aca="false">L7-M7</f>
        <v>-0.0887260423888883</v>
      </c>
    </row>
    <row r="8" customFormat="false" ht="15" hidden="false" customHeight="false" outlineLevel="0" collapsed="false">
      <c r="A8" s="13" t="s">
        <v>79</v>
      </c>
      <c r="B8" s="13" t="n">
        <v>4</v>
      </c>
      <c r="C8" s="24" t="n">
        <f aca="false">INDEX(Exports!$B$2:$B$22,MATCH(A8,Exports!$A$2:$A$22,0))</f>
        <v>11.54</v>
      </c>
      <c r="D8" s="25" t="n">
        <f aca="false">INTERCEPT($C$5:$C$13,$B$5:$B$13)+SLOPE($C$5:$C$13,$B$5:$B$13)*B8</f>
        <v>9.62177777777778</v>
      </c>
      <c r="E8" s="25" t="n">
        <f aca="false">C8-D8</f>
        <v>1.91822222222222</v>
      </c>
      <c r="F8" s="24" t="n">
        <f aca="false">AVERAGEIFS(Scenes!$E$2:$E$110,Scenes!$B$2:$B$110,$A8,Scenes!$D$2:$D$110,164)</f>
        <v>14.20527363</v>
      </c>
      <c r="G8" s="25" t="n">
        <f aca="false">INTERCEPT($F$5:$F$13,$B$5:$B$13)+SLOPE($F$5:$F$13,$B$5:$B$13)*B8</f>
        <v>14.5570649590556</v>
      </c>
      <c r="H8" s="25" t="n">
        <f aca="false">F8-G8</f>
        <v>-0.351791329055555</v>
      </c>
      <c r="I8" s="24" t="n">
        <f aca="false">AVERAGEIFS(Scenes!$E$2:$E$110,Scenes!$B$2:$B$110,$A8,Scenes!$D$2:$D$110,164,Scenes!$C$2:$C$110,"Sentinel-1C")</f>
        <v>14.20527363</v>
      </c>
      <c r="J8" s="25" t="n">
        <f aca="false">INTERCEPT($I$5:$I$13,$B$5:$B$13)+SLOPE($I$5:$I$13,$B$5:$B$13)*B8</f>
        <v>14.0230443760185</v>
      </c>
      <c r="K8" s="25" t="n">
        <f aca="false">I8-J8</f>
        <v>0.182229253981484</v>
      </c>
      <c r="L8" s="24" t="n">
        <f aca="false">AVERAGEIFS(Scenes!$E$2:$E$110,Scenes!$B$2:$B$110,$A8,Scenes!$D$2:$D$110,164,Scenes!$F$2:$F$110,1)</f>
        <v>14.20527363</v>
      </c>
      <c r="M8" s="25" t="n">
        <f aca="false">INTERCEPT($L$5:$L$13,$B$5:$B$13)+SLOPE($L$5:$L$13,$B$5:$B$13)*B8</f>
        <v>13.8911305446667</v>
      </c>
      <c r="N8" s="25" t="n">
        <f aca="false">L8-M8</f>
        <v>0.314143085333335</v>
      </c>
    </row>
    <row r="9" customFormat="false" ht="15" hidden="false" customHeight="false" outlineLevel="0" collapsed="false">
      <c r="A9" s="13" t="s">
        <v>82</v>
      </c>
      <c r="B9" s="13" t="n">
        <v>5</v>
      </c>
      <c r="C9" s="24" t="n">
        <f aca="false">INDEX(Exports!$B$2:$B$22,MATCH(A9,Exports!$A$2:$A$22,0))</f>
        <v>9.84</v>
      </c>
      <c r="D9" s="25" t="n">
        <f aca="false">INTERCEPT($C$5:$C$13,$B$5:$B$13)+SLOPE($C$5:$C$13,$B$5:$B$13)*B9</f>
        <v>9.57777777777778</v>
      </c>
      <c r="E9" s="25" t="n">
        <f aca="false">C9-D9</f>
        <v>0.262222222222222</v>
      </c>
      <c r="F9" s="24" t="n">
        <f aca="false">AVERAGEIFS(Scenes!$E$2:$E$110,Scenes!$B$2:$B$110,$A9,Scenes!$D$2:$D$110,164)</f>
        <v>18.981050112</v>
      </c>
      <c r="G9" s="25" t="n">
        <f aca="false">INTERCEPT($F$5:$F$13,$B$5:$B$13)+SLOPE($F$5:$F$13,$B$5:$B$13)*B9</f>
        <v>14.361276038</v>
      </c>
      <c r="H9" s="25" t="n">
        <f aca="false">F9-G9</f>
        <v>4.619774074</v>
      </c>
      <c r="I9" s="24" t="n">
        <f aca="false">AVERAGEIFS(Scenes!$E$2:$E$110,Scenes!$B$2:$B$110,$A9,Scenes!$D$2:$D$110,164,Scenes!$C$2:$C$110,"Sentinel-1C")</f>
        <v>13.36371263</v>
      </c>
      <c r="J9" s="25" t="n">
        <f aca="false">INTERCEPT($I$5:$I$13,$B$5:$B$13)+SLOPE($I$5:$I$13,$B$5:$B$13)*B9</f>
        <v>13.8431604007407</v>
      </c>
      <c r="K9" s="25" t="n">
        <f aca="false">I9-J9</f>
        <v>-0.479447770740739</v>
      </c>
      <c r="L9" s="24" t="n">
        <f aca="false">AVERAGEIFS(Scenes!$E$2:$E$110,Scenes!$B$2:$B$110,$A9,Scenes!$D$2:$D$110,164,Scenes!$F$2:$F$110,1)</f>
        <v>12.9876403825</v>
      </c>
      <c r="M9" s="25" t="n">
        <f aca="false">INTERCEPT($L$5:$L$13,$B$5:$B$13)+SLOPE($L$5:$L$13,$B$5:$B$13)*B9</f>
        <v>13.6953416236111</v>
      </c>
      <c r="N9" s="25" t="n">
        <f aca="false">L9-M9</f>
        <v>-0.70770124111111</v>
      </c>
    </row>
    <row r="10" customFormat="false" ht="15" hidden="false" customHeight="false" outlineLevel="0" collapsed="false">
      <c r="A10" s="13" t="s">
        <v>84</v>
      </c>
      <c r="B10" s="13" t="n">
        <v>6</v>
      </c>
      <c r="C10" s="24" t="n">
        <f aca="false">INDEX(Exports!$B$2:$B$22,MATCH(A10,Exports!$A$2:$A$22,0))</f>
        <v>10.3</v>
      </c>
      <c r="D10" s="25" t="n">
        <f aca="false">INTERCEPT($C$5:$C$13,$B$5:$B$13)+SLOPE($C$5:$C$13,$B$5:$B$13)*B10</f>
        <v>9.53377777777778</v>
      </c>
      <c r="E10" s="25" t="n">
        <f aca="false">C10-D10</f>
        <v>0.766222222222224</v>
      </c>
      <c r="F10" s="24" t="n">
        <f aca="false">AVERAGEIFS(Scenes!$E$2:$E$110,Scenes!$B$2:$B$110,$A10,Scenes!$D$2:$D$110,164)</f>
        <v>12.9795897833333</v>
      </c>
      <c r="G10" s="25" t="n">
        <f aca="false">INTERCEPT($F$5:$F$13,$B$5:$B$13)+SLOPE($F$5:$F$13,$B$5:$B$13)*B10</f>
        <v>14.1654871169444</v>
      </c>
      <c r="H10" s="25" t="n">
        <f aca="false">F10-G10</f>
        <v>-1.18589733361111</v>
      </c>
      <c r="I10" s="24" t="n">
        <f aca="false">AVERAGEIFS(Scenes!$E$2:$E$110,Scenes!$B$2:$B$110,$A10,Scenes!$D$2:$D$110,164,Scenes!$C$2:$C$110,"Sentinel-1C")</f>
        <v>13.93388653</v>
      </c>
      <c r="J10" s="25" t="n">
        <f aca="false">INTERCEPT($I$5:$I$13,$B$5:$B$13)+SLOPE($I$5:$I$13,$B$5:$B$13)*B10</f>
        <v>13.663276425463</v>
      </c>
      <c r="K10" s="25" t="n">
        <f aca="false">I10-J10</f>
        <v>0.27061010453704</v>
      </c>
      <c r="L10" s="24" t="n">
        <f aca="false">AVERAGEIFS(Scenes!$E$2:$E$110,Scenes!$B$2:$B$110,$A10,Scenes!$D$2:$D$110,164,Scenes!$F$2:$F$110,1)</f>
        <v>12.9795897833333</v>
      </c>
      <c r="M10" s="25" t="n">
        <f aca="false">INTERCEPT($L$5:$L$13,$B$5:$B$13)+SLOPE($L$5:$L$13,$B$5:$B$13)*B10</f>
        <v>13.4995527025556</v>
      </c>
      <c r="N10" s="25" t="n">
        <f aca="false">L10-M10</f>
        <v>-0.519962919222222</v>
      </c>
    </row>
    <row r="11" customFormat="false" ht="15" hidden="false" customHeight="false" outlineLevel="0" collapsed="false">
      <c r="A11" s="13" t="s">
        <v>86</v>
      </c>
      <c r="B11" s="13" t="n">
        <v>7</v>
      </c>
      <c r="C11" s="24" t="n">
        <f aca="false">INDEX(Exports!$B$2:$B$22,MATCH(A11,Exports!$A$2:$A$22,0))</f>
        <v>9.13</v>
      </c>
      <c r="D11" s="25" t="n">
        <f aca="false">INTERCEPT($C$5:$C$13,$B$5:$B$13)+SLOPE($C$5:$C$13,$B$5:$B$13)*B11</f>
        <v>9.48977777777778</v>
      </c>
      <c r="E11" s="25" t="n">
        <f aca="false">C11-D11</f>
        <v>-0.359777777777776</v>
      </c>
      <c r="F11" s="24" t="n">
        <f aca="false">AVERAGEIFS(Scenes!$E$2:$E$110,Scenes!$B$2:$B$110,$A11,Scenes!$D$2:$D$110,164)</f>
        <v>12.71904278</v>
      </c>
      <c r="G11" s="25" t="n">
        <f aca="false">INTERCEPT($F$5:$F$13,$B$5:$B$13)+SLOPE($F$5:$F$13,$B$5:$B$13)*B11</f>
        <v>13.9696981958889</v>
      </c>
      <c r="H11" s="25" t="n">
        <f aca="false">F11-G11</f>
        <v>-1.25065541588889</v>
      </c>
      <c r="I11" s="24" t="n">
        <f aca="false">AVERAGEIFS(Scenes!$E$2:$E$110,Scenes!$B$2:$B$110,$A11,Scenes!$D$2:$D$110,164,Scenes!$C$2:$C$110,"Sentinel-1C")</f>
        <v>12.71904278</v>
      </c>
      <c r="J11" s="25" t="n">
        <f aca="false">INTERCEPT($I$5:$I$13,$B$5:$B$13)+SLOPE($I$5:$I$13,$B$5:$B$13)*B11</f>
        <v>13.4833924501852</v>
      </c>
      <c r="K11" s="25" t="n">
        <f aca="false">I11-J11</f>
        <v>-0.764349670185185</v>
      </c>
      <c r="L11" s="24" t="n">
        <f aca="false">AVERAGEIFS(Scenes!$E$2:$E$110,Scenes!$B$2:$B$110,$A11,Scenes!$D$2:$D$110,164,Scenes!$F$2:$F$110,1)</f>
        <v>12.71904278</v>
      </c>
      <c r="M11" s="25" t="n">
        <f aca="false">INTERCEPT($L$5:$L$13,$B$5:$B$13)+SLOPE($L$5:$L$13,$B$5:$B$13)*B11</f>
        <v>13.3037637815</v>
      </c>
      <c r="N11" s="25" t="n">
        <f aca="false">L11-M11</f>
        <v>-0.584721001500002</v>
      </c>
    </row>
    <row r="12" customFormat="false" ht="15" hidden="false" customHeight="false" outlineLevel="0" collapsed="false">
      <c r="A12" s="13" t="s">
        <v>89</v>
      </c>
      <c r="B12" s="13" t="n">
        <v>8</v>
      </c>
      <c r="C12" s="24" t="n">
        <f aca="false">INDEX(Exports!$B$2:$B$22,MATCH(A12,Exports!$A$2:$A$22,0))</f>
        <v>9.45</v>
      </c>
      <c r="D12" s="25" t="n">
        <f aca="false">INTERCEPT($C$5:$C$13,$B$5:$B$13)+SLOPE($C$5:$C$13,$B$5:$B$13)*B12</f>
        <v>9.44577777777778</v>
      </c>
      <c r="E12" s="25" t="n">
        <f aca="false">C12-D12</f>
        <v>0.00422222222222146</v>
      </c>
      <c r="F12" s="24" t="n">
        <f aca="false">AVERAGEIFS(Scenes!$E$2:$E$110,Scenes!$B$2:$B$110,$A12,Scenes!$D$2:$D$110,164)</f>
        <v>13.6764726633333</v>
      </c>
      <c r="G12" s="25" t="n">
        <f aca="false">INTERCEPT($F$5:$F$13,$B$5:$B$13)+SLOPE($F$5:$F$13,$B$5:$B$13)*B12</f>
        <v>13.7739092748333</v>
      </c>
      <c r="H12" s="25" t="n">
        <f aca="false">F12-G12</f>
        <v>-0.0974366115000009</v>
      </c>
      <c r="I12" s="24" t="n">
        <f aca="false">AVERAGEIFS(Scenes!$E$2:$E$110,Scenes!$B$2:$B$110,$A12,Scenes!$D$2:$D$110,164,Scenes!$C$2:$C$110,"Sentinel-1C")</f>
        <v>13.6764726633333</v>
      </c>
      <c r="J12" s="25" t="n">
        <f aca="false">INTERCEPT($I$5:$I$13,$B$5:$B$13)+SLOPE($I$5:$I$13,$B$5:$B$13)*B12</f>
        <v>13.3035084749074</v>
      </c>
      <c r="K12" s="25" t="n">
        <f aca="false">I12-J12</f>
        <v>0.372964188425927</v>
      </c>
      <c r="L12" s="24" t="n">
        <f aca="false">AVERAGEIFS(Scenes!$E$2:$E$110,Scenes!$B$2:$B$110,$A12,Scenes!$D$2:$D$110,164,Scenes!$F$2:$F$110,1)</f>
        <v>13.6764726633333</v>
      </c>
      <c r="M12" s="25" t="n">
        <f aca="false">INTERCEPT($L$5:$L$13,$B$5:$B$13)+SLOPE($L$5:$L$13,$B$5:$B$13)*B12</f>
        <v>13.1079748604444</v>
      </c>
      <c r="N12" s="25" t="n">
        <f aca="false">L12-M12</f>
        <v>0.568497802888889</v>
      </c>
    </row>
    <row r="13" customFormat="false" ht="15" hidden="false" customHeight="false" outlineLevel="0" collapsed="false">
      <c r="A13" s="13" t="s">
        <v>92</v>
      </c>
      <c r="B13" s="13" t="n">
        <v>9</v>
      </c>
      <c r="C13" s="24" t="n">
        <f aca="false">INDEX(Exports!$B$2:$B$22,MATCH(A13,Exports!$A$2:$A$22,0))</f>
        <v>8.41</v>
      </c>
      <c r="D13" s="25" t="n">
        <f aca="false">INTERCEPT($C$5:$C$13,$B$5:$B$13)+SLOPE($C$5:$C$13,$B$5:$B$13)*B13</f>
        <v>9.40177777777778</v>
      </c>
      <c r="E13" s="25" t="n">
        <f aca="false">C13-D13</f>
        <v>-0.991777777777777</v>
      </c>
      <c r="F13" s="24" t="n">
        <f aca="false">AVERAGEIFS(Scenes!$E$2:$E$110,Scenes!$B$2:$B$110,$A13,Scenes!$D$2:$D$110,164)</f>
        <v>13.46010113</v>
      </c>
      <c r="G13" s="25" t="n">
        <f aca="false">INTERCEPT($F$5:$F$13,$B$5:$B$13)+SLOPE($F$5:$F$13,$B$5:$B$13)*B13</f>
        <v>13.5781203537778</v>
      </c>
      <c r="H13" s="25" t="n">
        <f aca="false">F13-G13</f>
        <v>-0.118019223777779</v>
      </c>
      <c r="I13" s="24" t="n">
        <f aca="false">AVERAGEIFS(Scenes!$E$2:$E$110,Scenes!$B$2:$B$110,$A13,Scenes!$D$2:$D$110,164,Scenes!$C$2:$C$110,"Sentinel-1C")</f>
        <v>13.46010113</v>
      </c>
      <c r="J13" s="25" t="n">
        <f aca="false">INTERCEPT($I$5:$I$13,$B$5:$B$13)+SLOPE($I$5:$I$13,$B$5:$B$13)*B13</f>
        <v>13.1236244996296</v>
      </c>
      <c r="K13" s="25" t="n">
        <f aca="false">I13-J13</f>
        <v>0.336476630370372</v>
      </c>
      <c r="L13" s="24" t="n">
        <f aca="false">AVERAGEIFS(Scenes!$E$2:$E$110,Scenes!$B$2:$B$110,$A13,Scenes!$D$2:$D$110,164,Scenes!$F$2:$F$110,1)</f>
        <v>13.46010113</v>
      </c>
      <c r="M13" s="25" t="n">
        <f aca="false">INTERCEPT($L$5:$L$13,$B$5:$B$13)+SLOPE($L$5:$L$13,$B$5:$B$13)*B13</f>
        <v>12.9121859393889</v>
      </c>
      <c r="N13" s="25" t="n">
        <f aca="false">L13-M13</f>
        <v>0.547915190611111</v>
      </c>
    </row>
    <row r="15" customFormat="false" ht="15" hidden="false" customHeight="false" outlineLevel="0" collapsed="false">
      <c r="A15" s="10" t="s">
        <v>125</v>
      </c>
    </row>
    <row r="16" customFormat="false" ht="35.05" hidden="false" customHeight="false" outlineLevel="0" collapsed="false">
      <c r="A16" s="3" t="s">
        <v>126</v>
      </c>
      <c r="B16" s="3"/>
      <c r="C16" s="3" t="s">
        <v>3</v>
      </c>
      <c r="D16" s="3" t="s">
        <v>127</v>
      </c>
      <c r="E16" s="3" t="s">
        <v>128</v>
      </c>
    </row>
    <row r="17" customFormat="false" ht="15" hidden="false" customHeight="false" outlineLevel="0" collapsed="false">
      <c r="A17" s="13" t="s">
        <v>130</v>
      </c>
      <c r="C17" s="13" t="n">
        <f aca="false">COUNT(F5:F13)</f>
        <v>9</v>
      </c>
      <c r="D17" s="26" t="n">
        <f aca="false">CORREL(F5:F13,C5:C13)</f>
        <v>0.109715341360035</v>
      </c>
      <c r="E17" s="26" t="n">
        <f aca="false">CORREL(H5:H13,E5:E13)</f>
        <v>0.0913830541382629</v>
      </c>
    </row>
    <row r="18" customFormat="false" ht="15" hidden="false" customHeight="false" outlineLevel="0" collapsed="false">
      <c r="A18" s="13" t="s">
        <v>133</v>
      </c>
      <c r="C18" s="13" t="n">
        <f aca="false">COUNT(I5:I13)</f>
        <v>9</v>
      </c>
      <c r="D18" s="26" t="n">
        <f aca="false">CORREL(I5:I13,C5:C13)</f>
        <v>0.212236698626048</v>
      </c>
      <c r="E18" s="26" t="n">
        <f aca="false">CORREL(K5:K13,E5:E13)</f>
        <v>0.229398143629299</v>
      </c>
    </row>
    <row r="19" customFormat="false" ht="15" hidden="false" customHeight="false" outlineLevel="0" collapsed="false">
      <c r="A19" s="13" t="s">
        <v>136</v>
      </c>
      <c r="C19" s="13" t="n">
        <f aca="false">COUNT(L5:L13)</f>
        <v>9</v>
      </c>
      <c r="D19" s="26" t="n">
        <f aca="false">CORREL(L5:L13,C5:C13)</f>
        <v>0.102412455356052</v>
      </c>
      <c r="E19" s="26" t="n">
        <f aca="false">CORREL(N5:N13,E5:E13)</f>
        <v>0.0667226517005519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2026-10-13T17:18:11Z</dcterms:created>
  <dc:creator>openpyxl</dc:creator>
  <dc:description/>
  <dc:language>en-US</dc:language>
  <cp:lastModifiedBy/>
  <dcterms:modified xsi:type="dcterms:W3CDTF">2026-10-13T17:18:11Z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